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saction details" sheetId="1" r:id="rId5"/>
    <sheet state="visible" name="Comments" sheetId="2" r:id="rId6"/>
    <sheet state="visible" name="FY24 working" sheetId="3" r:id="rId7"/>
    <sheet state="visible" name="FY24 register" sheetId="4" r:id="rId8"/>
    <sheet state="visible" name="Lists &amp; Descriptions" sheetId="5" r:id="rId9"/>
  </sheets>
  <definedNames>
    <definedName name="financialYear">'Transaction details'!$G:$G</definedName>
    <definedName name="depnMethodAcc">'Transaction details'!$J:$J</definedName>
    <definedName name="depnMethodTax">'Transaction details'!$M:$M</definedName>
    <definedName name="assetClass">'Transaction details'!$B:$B</definedName>
    <definedName name="accountingImpact">'Transaction details'!$I:$I</definedName>
    <definedName name="effectiveDate">'Transaction details'!$E:$E</definedName>
    <definedName name="depnRateAcc">'Transaction details'!$K:$K</definedName>
    <definedName name="financialMonth">'Transaction details'!$F:$F</definedName>
    <definedName name="assetLookUp">'Transaction details'!$A:$A</definedName>
    <definedName name="transactionType">'Transaction details'!$H:$H</definedName>
    <definedName name="depnRateTax">'Transaction details'!$N:$N</definedName>
    <definedName name="taxImpact">'Transaction details'!$L:$L</definedName>
  </definedNames>
  <calcPr/>
</workbook>
</file>

<file path=xl/sharedStrings.xml><?xml version="1.0" encoding="utf-8"?>
<sst xmlns="http://schemas.openxmlformats.org/spreadsheetml/2006/main" count="299" uniqueCount="110">
  <si>
    <t>Asset ID</t>
  </si>
  <si>
    <t>Asset category</t>
  </si>
  <si>
    <t>Asset description</t>
  </si>
  <si>
    <t>Record date</t>
  </si>
  <si>
    <t>Effective date</t>
  </si>
  <si>
    <t>Financial month</t>
  </si>
  <si>
    <t>Financial year</t>
  </si>
  <si>
    <t>Transaction type</t>
  </si>
  <si>
    <t>Transaction amount (acc)</t>
  </si>
  <si>
    <t>Depn method (acc)</t>
  </si>
  <si>
    <t>Depn rate (Acc)</t>
  </si>
  <si>
    <t>Transaction amount (tax)</t>
  </si>
  <si>
    <t>Depn method (tax)</t>
  </si>
  <si>
    <t>Depn rate (Tax)</t>
  </si>
  <si>
    <t>00001</t>
  </si>
  <si>
    <t>Land (freehold)</t>
  </si>
  <si>
    <t>New premises</t>
  </si>
  <si>
    <t>Acquisition</t>
  </si>
  <si>
    <t>Straight-line</t>
  </si>
  <si>
    <t>Non-depreciable</t>
  </si>
  <si>
    <t>00002</t>
  </si>
  <si>
    <t>Building structure</t>
  </si>
  <si>
    <t>Building acquired as part of new premises</t>
  </si>
  <si>
    <t>Diminishing value</t>
  </si>
  <si>
    <t>00003</t>
  </si>
  <si>
    <t>Building fitout</t>
  </si>
  <si>
    <t>Fitout acquired as part of new premises</t>
  </si>
  <si>
    <t>00004</t>
  </si>
  <si>
    <t>Vehicles</t>
  </si>
  <si>
    <t>Honda Torneo 2002 (rego ABC123)</t>
  </si>
  <si>
    <t>00005</t>
  </si>
  <si>
    <t>Computer software</t>
  </si>
  <si>
    <t>Website costs capitalised for tax</t>
  </si>
  <si>
    <t>00006</t>
  </si>
  <si>
    <t>Plant and equipment</t>
  </si>
  <si>
    <t>iPhone 14 (serial XYZ123467)</t>
  </si>
  <si>
    <t>Low-value write-off</t>
  </si>
  <si>
    <t>For accounting and tax reporting, businesses need to maintain a fixed asset register.  Typically a business will have separate registers for tax and accounting.</t>
  </si>
  <si>
    <r>
      <rPr>
        <rFont val="Arial"/>
        <color theme="1"/>
      </rPr>
      <t xml:space="preserve">The register essentially records assets that a business owns and </t>
    </r>
    <r>
      <rPr>
        <rFont val="Arial"/>
        <b/>
        <color theme="1"/>
      </rPr>
      <t xml:space="preserve">uses </t>
    </r>
    <r>
      <rPr>
        <rFont val="Arial"/>
        <color theme="1"/>
      </rPr>
      <t xml:space="preserve">to generate income (ie, fixed assets).  Fixed-assets can be contrasted with assets that are </t>
    </r>
    <r>
      <rPr>
        <rFont val="Arial"/>
        <b/>
        <color theme="1"/>
      </rPr>
      <t>sold</t>
    </r>
    <r>
      <rPr>
        <rFont val="Arial"/>
        <color theme="1"/>
      </rPr>
      <t xml:space="preserve"> to generate income (ie, trading stock) and assets that are </t>
    </r>
    <r>
      <rPr>
        <rFont val="Arial"/>
        <b/>
        <color theme="1"/>
      </rPr>
      <t>consumed</t>
    </r>
    <r>
      <rPr>
        <rFont val="Arial"/>
        <color theme="1"/>
      </rPr>
      <t xml:space="preserve"> (ie, consumables like petrol).</t>
    </r>
  </si>
  <si>
    <t>Most people I've worked with face issues with their fixed-asset registers.  The issues can range from:
- poor data inputs and manual tracking of assets
- incorrect formula to calculate depreciation
- manual processes and spreadsheets with high liklihood for error
- using software which lacks the features necessary for their business (eg, cannot load revaluations)
- how errors are corrected when they are identified
The challenge with maintaining a healthy fixed-asset register is compounded by the fact that each year's register is built off of prior years, meaning issues can compound over multiple years and blow up.</t>
  </si>
  <si>
    <t xml:space="preserve">wizard on boarding process, mobile app walkthrough. does the user need to see the depreciation calulated straight away or does that feed to us first to review?
object history, ood, historical and forward looking per object in current depreciation method, retains information on changes in depreciation model when updated.
</t>
  </si>
  <si>
    <t>There are already a number of technological solutions.  Eg,
- Barcode / QR tagging your fixed-assets to make stocktaking easier
- Using AI to review asset classifications and depreciation rates based on available descriptions</t>
  </si>
  <si>
    <t>can combine with test and tag</t>
  </si>
  <si>
    <r>
      <rPr>
        <rFont val="Arial"/>
        <color theme="1"/>
      </rPr>
      <t xml:space="preserve">I think there is still scope for massive improvement in fixed-asset tracking.  I think the gold-standard for maintaining a fixed-asset reigster is to keep a record/ledger of transactions that </t>
    </r>
    <r>
      <rPr>
        <rFont val="Arial"/>
        <b/>
        <i/>
        <color theme="1"/>
      </rPr>
      <t xml:space="preserve">feeds into </t>
    </r>
    <r>
      <rPr>
        <rFont val="Arial"/>
        <color theme="1"/>
      </rPr>
      <t xml:space="preserve">the fixed asset registers.
In my view, users should </t>
    </r>
    <r>
      <rPr>
        <rFont val="Arial"/>
        <b/>
        <color theme="1"/>
        <u/>
      </rPr>
      <t>not</t>
    </r>
    <r>
      <rPr>
        <rFont val="Arial"/>
        <color theme="1"/>
      </rPr>
      <t xml:space="preserve"> be allowed to get into the calculations themselves because that is where the majority of errors occur.
We should be able to design a tool/platform where people have all the control they need over the calculations by simply recording new transactions.  Eg, if an asset is unavailable to be used for three months of the year that should be recorded as one or more transaction.  The effect will be that from the time the asset is unavailable for use, it will not be depreciated.  Once the asset becomes available for use again, the depreciation should restart.</t>
    </r>
  </si>
  <si>
    <t>oodb is the ledger</t>
  </si>
  <si>
    <t>A record of transactions made in a financial year should be far easier for management to review than attempting to review the full fixed-asset register for the year.
Because the transaction list is easier to review/audit, it should be easier for management and their advisors to identify data input issues and correct these.
By having an audit trail of transactions we should also be able to subsequently correct errors.  Eg, it should be possible to select one or more transactions from the past and propose a "correction" to them.  Our system could then generate the current period adjustments necessary to bring the fixed asset register back to the position it would have been, if the correct inputs had been loaded originally.</t>
  </si>
  <si>
    <t>Year</t>
  </si>
  <si>
    <t>Month</t>
  </si>
  <si>
    <t>Assets</t>
  </si>
  <si>
    <t>Month One</t>
  </si>
  <si>
    <t>Month Two</t>
  </si>
  <si>
    <t>Month Three</t>
  </si>
  <si>
    <t>Month Four</t>
  </si>
  <si>
    <t>Month Five</t>
  </si>
  <si>
    <t>Month Six</t>
  </si>
  <si>
    <t>Month Seven</t>
  </si>
  <si>
    <t>Month Eight</t>
  </si>
  <si>
    <t>Month Nine</t>
  </si>
  <si>
    <t>Month Ten</t>
  </si>
  <si>
    <t>Month Eleven</t>
  </si>
  <si>
    <t>Month Twelve</t>
  </si>
  <si>
    <t>Acc classification at close</t>
  </si>
  <si>
    <t xml:space="preserve">Opening value </t>
  </si>
  <si>
    <t>Revalns</t>
  </si>
  <si>
    <t>Acquisitions</t>
  </si>
  <si>
    <t>Disposals</t>
  </si>
  <si>
    <t>Depn</t>
  </si>
  <si>
    <t>Open</t>
  </si>
  <si>
    <t>Total revals</t>
  </si>
  <si>
    <t>Total additions</t>
  </si>
  <si>
    <t>Total disposals</t>
  </si>
  <si>
    <t>Total depn</t>
  </si>
  <si>
    <t>Close</t>
  </si>
  <si>
    <t>Note - classificaiton at close would by default be the opening</t>
  </si>
  <si>
    <t>Tax classification at close</t>
  </si>
  <si>
    <t>But if there has been a reclassification in the year, we would want to take that as an override</t>
  </si>
  <si>
    <t>EXAMPLE COMPANY LIMITED</t>
  </si>
  <si>
    <t>FIXED ASSETS AND DEPRECIATION</t>
  </si>
  <si>
    <t>Year ended 31 March 2024</t>
  </si>
  <si>
    <t>ACCOUNTING FIXED ASSETS REGISTER</t>
  </si>
  <si>
    <t>Opening book value</t>
  </si>
  <si>
    <t>Revaluations</t>
  </si>
  <si>
    <t>Additions</t>
  </si>
  <si>
    <t>Depreciation</t>
  </si>
  <si>
    <t>Closing book value</t>
  </si>
  <si>
    <t>Land</t>
  </si>
  <si>
    <t>Buildings</t>
  </si>
  <si>
    <t>TAX FIXED ASSETS REGISTER</t>
  </si>
  <si>
    <t>Database</t>
  </si>
  <si>
    <t>Depreciation methods</t>
  </si>
  <si>
    <t>Created</t>
  </si>
  <si>
    <t>Land (leasehold)</t>
  </si>
  <si>
    <t>Disposal</t>
  </si>
  <si>
    <t xml:space="preserve">Removed </t>
  </si>
  <si>
    <t>Revaluation</t>
  </si>
  <si>
    <t>Change in value with reason</t>
  </si>
  <si>
    <t>Does not impact tax fixed asset register but system should separately quantify total low-value write-off amount and ensure user claims deduction in their tax return.</t>
  </si>
  <si>
    <t>Impairment</t>
  </si>
  <si>
    <t>Reduction in value with reason</t>
  </si>
  <si>
    <t>Improvement</t>
  </si>
  <si>
    <t>Increase in value with reason</t>
  </si>
  <si>
    <t>Marked unavailable for use</t>
  </si>
  <si>
    <t>Depreciation halted, asset remains</t>
  </si>
  <si>
    <t>WIP</t>
  </si>
  <si>
    <t>Marked available for use</t>
  </si>
  <si>
    <t>Depreciation previously halted, restarted</t>
  </si>
  <si>
    <t>Improvements</t>
  </si>
  <si>
    <t>Change depn method</t>
  </si>
  <si>
    <t>Recalulation, previous calculation remains</t>
  </si>
  <si>
    <t>Reclassify asset category</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</si>
</sst>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mm-yyyy"/>
  </numFmts>
  <fonts count="6">
    <font>
      <sz val="10.0"/>
      <color rgb="FF000000"/>
      <name val="Arial"/>
      <scheme val="minor"/>
    </font>
    <font>
      <color theme="1"/>
      <name val="Arial"/>
      <scheme val="minor"/>
    </font>
    <font>
      <b/>
      <color theme="1"/>
      <name val="Arial"/>
      <scheme val="minor"/>
    </font>
    <font>
      <b/>
      <color rgb="FFFF0000"/>
      <name val="Arial"/>
      <scheme val="minor"/>
    </font>
    <font>
      <sz val="15.0"/>
      <color theme="1"/>
      <name val="Arial"/>
      <scheme val="minor"/>
    </font>
    <font>
      <sz val="12.0"/>
      <color theme="1"/>
      <name val="Arial"/>
      <scheme val="minor"/>
    </font>
  </fonts>
  <fills count="2">
    <fill>
      <patternFill patternType="none"/>
    </fill>
    <fill>
      <patternFill patternType="lightGray"/>
    </fill>
  </fills>
  <borders count="2">
    <border/>
    <border>
      <top style="thin">
        <color rgb="FF000000"/>
      </top>
      <bottom style="double">
        <color rgb="FF000000"/>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Alignment="1" applyFont="1">
      <alignment readingOrder="0"/>
    </xf>
    <xf borderId="0" fillId="0" fontId="1" numFmtId="49" xfId="0" applyAlignment="1" applyFont="1" applyNumberFormat="1">
      <alignment readingOrder="0"/>
    </xf>
    <xf borderId="0" fillId="0" fontId="1" numFmtId="164" xfId="0" applyAlignment="1" applyFont="1" applyNumberFormat="1">
      <alignment readingOrder="0"/>
    </xf>
    <xf borderId="0" fillId="0" fontId="1" numFmtId="0" xfId="0" applyFont="1"/>
    <xf borderId="0" fillId="0" fontId="1" numFmtId="3" xfId="0" applyAlignment="1" applyFont="1" applyNumberFormat="1">
      <alignment readingOrder="0"/>
    </xf>
    <xf borderId="0" fillId="0" fontId="1" numFmtId="9" xfId="0" applyAlignment="1" applyFont="1" applyNumberFormat="1">
      <alignment readingOrder="0"/>
    </xf>
    <xf borderId="0" fillId="0" fontId="1" numFmtId="3" xfId="0" applyFont="1" applyNumberFormat="1"/>
    <xf borderId="0" fillId="0" fontId="1" numFmtId="0" xfId="0" applyAlignment="1" applyFont="1">
      <alignment horizontal="center"/>
    </xf>
    <xf borderId="0" fillId="0" fontId="1" numFmtId="0" xfId="0" applyAlignment="1" applyFont="1">
      <alignment readingOrder="0" shrinkToFit="0" wrapText="1"/>
    </xf>
    <xf borderId="0" fillId="0" fontId="1" numFmtId="0" xfId="0" applyAlignment="1" applyFont="1">
      <alignment readingOrder="0" vertical="top"/>
    </xf>
    <xf borderId="0" fillId="0" fontId="2" numFmtId="0" xfId="0" applyAlignment="1" applyFont="1">
      <alignment readingOrder="0" vertical="center"/>
    </xf>
    <xf borderId="0" fillId="0" fontId="2" numFmtId="0" xfId="0" applyAlignment="1" applyFont="1">
      <alignment horizontal="center" readingOrder="0"/>
    </xf>
    <xf borderId="0" fillId="0" fontId="2" numFmtId="0" xfId="0" applyAlignment="1" applyFont="1">
      <alignment readingOrder="0"/>
    </xf>
    <xf borderId="0" fillId="0" fontId="2" numFmtId="0" xfId="0" applyAlignment="1" applyFont="1">
      <alignment horizontal="center" readingOrder="0" shrinkToFit="0" wrapText="1"/>
    </xf>
    <xf borderId="0" fillId="0" fontId="1" numFmtId="4" xfId="0" applyAlignment="1" applyFont="1" applyNumberFormat="1">
      <alignment readingOrder="0"/>
    </xf>
    <xf borderId="0" fillId="0" fontId="1" numFmtId="4" xfId="0" applyFont="1" applyNumberFormat="1"/>
    <xf borderId="0" fillId="0" fontId="3" numFmtId="0" xfId="0" applyAlignment="1" applyFont="1">
      <alignment readingOrder="0"/>
    </xf>
    <xf borderId="0" fillId="0" fontId="4" numFmtId="0" xfId="0" applyAlignment="1" applyFont="1">
      <alignment readingOrder="0"/>
    </xf>
    <xf borderId="0" fillId="0" fontId="5" numFmtId="0" xfId="0" applyAlignment="1" applyFont="1">
      <alignment readingOrder="0"/>
    </xf>
    <xf borderId="1" fillId="0" fontId="1" numFmtId="4" xfId="0" applyBorder="1"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38"/>
    <col customWidth="1" min="3" max="3" width="19.13"/>
    <col customWidth="1" min="6" max="8" width="18.63"/>
    <col customWidth="1" min="9" max="9" width="20.5"/>
    <col customWidth="1" min="10" max="11" width="18.0"/>
    <col customWidth="1" min="12" max="12" width="20.38"/>
    <col customWidth="1" min="13" max="14" width="16.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1" t="s">
        <v>15</v>
      </c>
      <c r="C2" s="1" t="s">
        <v>16</v>
      </c>
      <c r="D2" s="3">
        <v>45017.0</v>
      </c>
      <c r="E2" s="3">
        <v>45017.0</v>
      </c>
      <c r="F2" s="4">
        <f t="shared" ref="F2:F18" si="1">if(isblank(E2),,if(month(E2)-3&gt;0,month(E2)-3,month(E2)+9))</f>
        <v>1</v>
      </c>
      <c r="G2" s="4">
        <f t="shared" ref="G2:G18" si="2">if(isblank(F2),,if(F2&lt;10,year(E2)+1,year(E2)))</f>
        <v>2024</v>
      </c>
      <c r="H2" s="1" t="s">
        <v>17</v>
      </c>
      <c r="I2" s="5">
        <v>5000000.0</v>
      </c>
      <c r="J2" s="1" t="s">
        <v>18</v>
      </c>
      <c r="L2" s="5">
        <v>5000000.0</v>
      </c>
      <c r="M2" s="1" t="s">
        <v>19</v>
      </c>
    </row>
    <row r="3">
      <c r="A3" s="2" t="s">
        <v>20</v>
      </c>
      <c r="B3" s="1" t="s">
        <v>21</v>
      </c>
      <c r="C3" s="1" t="s">
        <v>22</v>
      </c>
      <c r="D3" s="3">
        <v>45017.0</v>
      </c>
      <c r="E3" s="3">
        <v>45017.0</v>
      </c>
      <c r="F3" s="4">
        <f t="shared" si="1"/>
        <v>1</v>
      </c>
      <c r="G3" s="4">
        <f t="shared" si="2"/>
        <v>2024</v>
      </c>
      <c r="H3" s="1" t="s">
        <v>17</v>
      </c>
      <c r="I3" s="5">
        <v>2000000.0</v>
      </c>
      <c r="J3" s="1" t="s">
        <v>18</v>
      </c>
      <c r="K3" s="6">
        <v>0.02</v>
      </c>
      <c r="L3" s="5">
        <v>2000000.0</v>
      </c>
      <c r="M3" s="1" t="s">
        <v>23</v>
      </c>
      <c r="N3" s="6">
        <v>0.0</v>
      </c>
    </row>
    <row r="4">
      <c r="A4" s="2" t="s">
        <v>24</v>
      </c>
      <c r="B4" s="1" t="s">
        <v>25</v>
      </c>
      <c r="C4" s="1" t="s">
        <v>26</v>
      </c>
      <c r="D4" s="3">
        <v>45017.0</v>
      </c>
      <c r="E4" s="3">
        <v>45017.0</v>
      </c>
      <c r="F4" s="4">
        <f t="shared" si="1"/>
        <v>1</v>
      </c>
      <c r="G4" s="4">
        <f t="shared" si="2"/>
        <v>2024</v>
      </c>
      <c r="H4" s="1" t="s">
        <v>17</v>
      </c>
      <c r="I4" s="5">
        <v>600000.0</v>
      </c>
      <c r="J4" s="1" t="s">
        <v>18</v>
      </c>
      <c r="K4" s="6">
        <v>0.2</v>
      </c>
      <c r="L4" s="5">
        <v>600000.0</v>
      </c>
      <c r="M4" s="1" t="s">
        <v>23</v>
      </c>
      <c r="N4" s="6">
        <v>0.15</v>
      </c>
    </row>
    <row r="5">
      <c r="A5" s="2" t="s">
        <v>27</v>
      </c>
      <c r="B5" s="1" t="s">
        <v>28</v>
      </c>
      <c r="C5" s="1" t="s">
        <v>29</v>
      </c>
      <c r="D5" s="3">
        <v>45107.0</v>
      </c>
      <c r="E5" s="3">
        <v>45105.0</v>
      </c>
      <c r="F5" s="4">
        <f t="shared" si="1"/>
        <v>3</v>
      </c>
      <c r="G5" s="4">
        <f t="shared" si="2"/>
        <v>2024</v>
      </c>
      <c r="H5" s="1" t="s">
        <v>17</v>
      </c>
      <c r="I5" s="5">
        <v>2500.0</v>
      </c>
      <c r="J5" s="1" t="s">
        <v>18</v>
      </c>
      <c r="K5" s="6">
        <v>0.3</v>
      </c>
      <c r="L5" s="7"/>
      <c r="M5" s="1" t="s">
        <v>23</v>
      </c>
      <c r="N5" s="6">
        <v>0.4</v>
      </c>
    </row>
    <row r="6">
      <c r="A6" s="2" t="s">
        <v>30</v>
      </c>
      <c r="B6" s="1" t="s">
        <v>31</v>
      </c>
      <c r="C6" s="1" t="s">
        <v>32</v>
      </c>
      <c r="D6" s="3">
        <v>45199.0</v>
      </c>
      <c r="E6" s="3">
        <v>45198.0</v>
      </c>
      <c r="F6" s="4">
        <f t="shared" si="1"/>
        <v>6</v>
      </c>
      <c r="G6" s="4">
        <f t="shared" si="2"/>
        <v>2024</v>
      </c>
      <c r="H6" s="1" t="s">
        <v>17</v>
      </c>
      <c r="I6" s="5"/>
      <c r="J6" s="4"/>
      <c r="L6" s="5">
        <v>16000.0</v>
      </c>
      <c r="M6" s="1" t="s">
        <v>23</v>
      </c>
      <c r="N6" s="6">
        <v>0.6</v>
      </c>
    </row>
    <row r="7">
      <c r="A7" s="2" t="s">
        <v>33</v>
      </c>
      <c r="B7" s="1" t="s">
        <v>34</v>
      </c>
      <c r="C7" s="1" t="s">
        <v>35</v>
      </c>
      <c r="D7" s="3">
        <v>45303.0</v>
      </c>
      <c r="E7" s="3">
        <v>45303.0</v>
      </c>
      <c r="F7" s="4">
        <f t="shared" si="1"/>
        <v>10</v>
      </c>
      <c r="G7" s="4">
        <f t="shared" si="2"/>
        <v>2024</v>
      </c>
      <c r="H7" s="1" t="s">
        <v>17</v>
      </c>
      <c r="I7" s="5">
        <v>800.0</v>
      </c>
      <c r="J7" s="1" t="s">
        <v>18</v>
      </c>
      <c r="K7" s="6">
        <v>0.5</v>
      </c>
      <c r="L7" s="7"/>
      <c r="M7" s="1" t="s">
        <v>36</v>
      </c>
    </row>
    <row r="8">
      <c r="A8" s="2"/>
      <c r="B8" s="4"/>
      <c r="F8" s="4" t="str">
        <f t="shared" si="1"/>
        <v/>
      </c>
      <c r="G8" s="4" t="str">
        <f t="shared" si="2"/>
        <v/>
      </c>
      <c r="H8" s="4"/>
      <c r="I8" s="7"/>
      <c r="J8" s="4"/>
      <c r="L8" s="7"/>
      <c r="M8" s="4"/>
    </row>
    <row r="9">
      <c r="A9" s="2"/>
      <c r="B9" s="4"/>
      <c r="F9" s="4" t="str">
        <f t="shared" si="1"/>
        <v/>
      </c>
      <c r="G9" s="4" t="str">
        <f t="shared" si="2"/>
        <v/>
      </c>
      <c r="H9" s="4"/>
      <c r="I9" s="7"/>
      <c r="J9" s="4"/>
      <c r="L9" s="7"/>
      <c r="M9" s="4"/>
    </row>
    <row r="10">
      <c r="A10" s="2"/>
      <c r="B10" s="4"/>
      <c r="F10" s="4" t="str">
        <f t="shared" si="1"/>
        <v/>
      </c>
      <c r="G10" s="4" t="str">
        <f t="shared" si="2"/>
        <v/>
      </c>
      <c r="H10" s="4"/>
      <c r="I10" s="7"/>
      <c r="J10" s="4"/>
      <c r="L10" s="7"/>
      <c r="M10" s="4"/>
    </row>
    <row r="11">
      <c r="A11" s="2"/>
      <c r="B11" s="4"/>
      <c r="F11" s="4" t="str">
        <f t="shared" si="1"/>
        <v/>
      </c>
      <c r="G11" s="4" t="str">
        <f t="shared" si="2"/>
        <v/>
      </c>
      <c r="H11" s="4"/>
      <c r="I11" s="7"/>
      <c r="J11" s="4"/>
      <c r="L11" s="7"/>
      <c r="M11" s="4"/>
    </row>
    <row r="12">
      <c r="A12" s="2"/>
      <c r="B12" s="4"/>
      <c r="F12" s="4" t="str">
        <f t="shared" si="1"/>
        <v/>
      </c>
      <c r="G12" s="4" t="str">
        <f t="shared" si="2"/>
        <v/>
      </c>
      <c r="H12" s="4"/>
      <c r="I12" s="7"/>
      <c r="J12" s="4"/>
      <c r="L12" s="7"/>
      <c r="M12" s="4"/>
    </row>
    <row r="13">
      <c r="A13" s="2"/>
      <c r="B13" s="4"/>
      <c r="F13" s="4" t="str">
        <f t="shared" si="1"/>
        <v/>
      </c>
      <c r="G13" s="4" t="str">
        <f t="shared" si="2"/>
        <v/>
      </c>
      <c r="H13" s="4"/>
      <c r="I13" s="7"/>
      <c r="J13" s="4"/>
      <c r="L13" s="7"/>
      <c r="M13" s="4"/>
    </row>
    <row r="14">
      <c r="A14" s="2"/>
      <c r="B14" s="4"/>
      <c r="F14" s="4" t="str">
        <f t="shared" si="1"/>
        <v/>
      </c>
      <c r="G14" s="4" t="str">
        <f t="shared" si="2"/>
        <v/>
      </c>
      <c r="H14" s="4"/>
      <c r="I14" s="7"/>
      <c r="J14" s="4"/>
      <c r="L14" s="7"/>
      <c r="M14" s="4"/>
    </row>
    <row r="15">
      <c r="A15" s="2"/>
      <c r="B15" s="4"/>
      <c r="F15" s="4" t="str">
        <f t="shared" si="1"/>
        <v/>
      </c>
      <c r="G15" s="4" t="str">
        <f t="shared" si="2"/>
        <v/>
      </c>
      <c r="H15" s="4"/>
      <c r="I15" s="7"/>
      <c r="J15" s="4"/>
      <c r="L15" s="7"/>
      <c r="M15" s="4"/>
    </row>
    <row r="16">
      <c r="A16" s="2"/>
      <c r="B16" s="4"/>
      <c r="F16" s="4" t="str">
        <f t="shared" si="1"/>
        <v/>
      </c>
      <c r="G16" s="4" t="str">
        <f t="shared" si="2"/>
        <v/>
      </c>
      <c r="H16" s="4"/>
      <c r="I16" s="7"/>
      <c r="J16" s="4"/>
      <c r="L16" s="7"/>
      <c r="M16" s="4"/>
    </row>
    <row r="17">
      <c r="A17" s="2"/>
      <c r="B17" s="4"/>
      <c r="F17" s="4" t="str">
        <f t="shared" si="1"/>
        <v/>
      </c>
      <c r="G17" s="4" t="str">
        <f t="shared" si="2"/>
        <v/>
      </c>
      <c r="H17" s="4"/>
      <c r="I17" s="7"/>
      <c r="J17" s="4"/>
      <c r="L17" s="7"/>
      <c r="M17" s="4"/>
    </row>
    <row r="18">
      <c r="A18" s="2"/>
      <c r="B18" s="4"/>
      <c r="F18" s="4" t="str">
        <f t="shared" si="1"/>
        <v/>
      </c>
      <c r="G18" s="4" t="str">
        <f t="shared" si="2"/>
        <v/>
      </c>
      <c r="H18" s="4"/>
      <c r="I18" s="7"/>
      <c r="J18" s="4"/>
      <c r="L18" s="7"/>
      <c r="M18" s="4"/>
    </row>
  </sheetData>
  <dataValidations>
    <dataValidation type="list" allowBlank="1" showErrorMessage="1" sqref="M3:M18">
      <formula1>'Lists &amp; Descriptions'!$E$2:$E$4</formula1>
    </dataValidation>
    <dataValidation type="list" allowBlank="1" showErrorMessage="1" sqref="H2:H18">
      <formula1>'Lists &amp; Descriptions'!$C$2:$C$10</formula1>
    </dataValidation>
    <dataValidation type="list" allowBlank="1" showErrorMessage="1" sqref="B2:B18">
      <formula1>'Lists &amp; Descriptions'!$A$2:$A$10</formula1>
    </dataValidation>
    <dataValidation type="list" allowBlank="1" showErrorMessage="1" sqref="M2 J2:J18">
      <formula1>'Lists &amp; Descriptions'!$E$2:$E$5</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sheetViews>
  <sheetFormatPr customHeight="1" defaultColWidth="12.63" defaultRowHeight="15.75"/>
  <cols>
    <col customWidth="1" min="1" max="1" width="15.0"/>
  </cols>
  <sheetData>
    <row r="1">
      <c r="J1" s="8"/>
    </row>
    <row r="2">
      <c r="A2" s="9" t="s">
        <v>37</v>
      </c>
    </row>
    <row r="4">
      <c r="A4" s="9" t="s">
        <v>38</v>
      </c>
    </row>
    <row r="6">
      <c r="A6" s="9" t="s">
        <v>39</v>
      </c>
      <c r="G6" s="10" t="s">
        <v>40</v>
      </c>
    </row>
    <row r="8">
      <c r="A8" s="9" t="s">
        <v>41</v>
      </c>
      <c r="G8" s="1" t="s">
        <v>42</v>
      </c>
    </row>
    <row r="10">
      <c r="A10" s="9" t="s">
        <v>43</v>
      </c>
      <c r="G10" s="1" t="s">
        <v>44</v>
      </c>
    </row>
    <row r="12">
      <c r="A12" s="9" t="s">
        <v>45</v>
      </c>
    </row>
  </sheetData>
  <mergeCells count="6">
    <mergeCell ref="A2:F2"/>
    <mergeCell ref="A4:F4"/>
    <mergeCell ref="A6:F6"/>
    <mergeCell ref="A8:F8"/>
    <mergeCell ref="A10:F10"/>
    <mergeCell ref="A12:F1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38"/>
    <col customWidth="1" min="2" max="2" width="16.38"/>
    <col customWidth="1" min="3" max="4" width="17.25"/>
    <col customWidth="1" min="7" max="8" width="16.75"/>
    <col customWidth="1" min="9" max="9" width="15.13"/>
    <col customWidth="1" min="10" max="11" width="16.75"/>
    <col customWidth="1" min="12" max="12" width="18.38"/>
    <col customWidth="1" min="13" max="14" width="16.75"/>
    <col customWidth="1" min="15" max="15" width="15.13"/>
    <col customWidth="1" min="16" max="16" width="16.75"/>
    <col customWidth="1" min="17" max="17" width="15.13"/>
    <col customWidth="1" min="18" max="18" width="16.75"/>
    <col customWidth="1" min="19" max="19" width="15.13"/>
    <col customWidth="1" min="20" max="20" width="16.75"/>
    <col customWidth="1" min="21" max="21" width="15.13"/>
    <col customWidth="1" min="22" max="22" width="16.75"/>
    <col customWidth="1" min="23" max="23" width="15.13"/>
    <col customWidth="1" min="24" max="24" width="16.75"/>
    <col customWidth="1" min="25" max="25" width="15.13"/>
    <col customWidth="1" min="26" max="26" width="16.75"/>
    <col customWidth="1" min="27" max="27" width="15.13"/>
    <col customWidth="1" min="28" max="28" width="16.75"/>
    <col customWidth="1" min="29" max="29" width="15.13"/>
    <col customWidth="1" min="30" max="30" width="16.75"/>
    <col customWidth="1" min="31" max="61" width="15.13"/>
    <col customWidth="1" min="62" max="62" width="18.75"/>
    <col customWidth="1" min="63" max="105" width="15.13"/>
  </cols>
  <sheetData>
    <row r="1">
      <c r="A1" s="11" t="s">
        <v>46</v>
      </c>
      <c r="B1" s="12">
        <v>2024.0</v>
      </c>
      <c r="C1" s="12">
        <v>2024.0</v>
      </c>
      <c r="D1" s="12">
        <v>2024.0</v>
      </c>
      <c r="E1" s="12">
        <v>2024.0</v>
      </c>
      <c r="F1" s="12">
        <v>2024.0</v>
      </c>
      <c r="G1" s="12">
        <v>2024.0</v>
      </c>
      <c r="H1" s="12">
        <v>2024.0</v>
      </c>
      <c r="I1" s="12">
        <v>2024.0</v>
      </c>
      <c r="J1" s="12">
        <v>2024.0</v>
      </c>
      <c r="K1" s="12">
        <v>2024.0</v>
      </c>
      <c r="L1" s="12">
        <v>2024.0</v>
      </c>
      <c r="M1" s="12">
        <v>2024.0</v>
      </c>
      <c r="N1" s="12">
        <v>2024.0</v>
      </c>
      <c r="O1" s="12">
        <v>2024.0</v>
      </c>
      <c r="P1" s="12">
        <v>2024.0</v>
      </c>
      <c r="Q1" s="12">
        <v>2024.0</v>
      </c>
      <c r="R1" s="12">
        <v>2024.0</v>
      </c>
      <c r="S1" s="12">
        <v>2024.0</v>
      </c>
      <c r="T1" s="12">
        <v>2024.0</v>
      </c>
      <c r="U1" s="12">
        <v>2024.0</v>
      </c>
      <c r="V1" s="12">
        <v>2024.0</v>
      </c>
      <c r="W1" s="12">
        <v>2024.0</v>
      </c>
      <c r="X1" s="12">
        <v>2024.0</v>
      </c>
      <c r="Y1" s="12">
        <v>2024.0</v>
      </c>
      <c r="Z1" s="12">
        <v>2024.0</v>
      </c>
      <c r="AA1" s="12">
        <v>2024.0</v>
      </c>
      <c r="AB1" s="12">
        <v>2024.0</v>
      </c>
      <c r="AC1" s="12">
        <v>2024.0</v>
      </c>
      <c r="AD1" s="12">
        <v>2024.0</v>
      </c>
      <c r="AE1" s="12">
        <v>2024.0</v>
      </c>
      <c r="AF1" s="12">
        <v>2024.0</v>
      </c>
      <c r="AG1" s="12">
        <v>2024.0</v>
      </c>
      <c r="AH1" s="12">
        <v>2024.0</v>
      </c>
      <c r="AI1" s="12">
        <v>2024.0</v>
      </c>
      <c r="AJ1" s="12">
        <v>2024.0</v>
      </c>
      <c r="AK1" s="12">
        <v>2024.0</v>
      </c>
      <c r="AL1" s="12">
        <v>2024.0</v>
      </c>
      <c r="AM1" s="12">
        <v>2024.0</v>
      </c>
      <c r="AN1" s="12">
        <v>2024.0</v>
      </c>
      <c r="AO1" s="12">
        <v>2024.0</v>
      </c>
      <c r="AP1" s="12">
        <v>2024.0</v>
      </c>
      <c r="AQ1" s="12">
        <v>2024.0</v>
      </c>
      <c r="AR1" s="12">
        <v>2024.0</v>
      </c>
      <c r="AS1" s="12">
        <v>2024.0</v>
      </c>
      <c r="AT1" s="12">
        <v>2024.0</v>
      </c>
      <c r="AU1" s="12">
        <v>2024.0</v>
      </c>
      <c r="AV1" s="12">
        <v>2024.0</v>
      </c>
      <c r="AW1" s="12">
        <v>2024.0</v>
      </c>
      <c r="AX1" s="12">
        <v>2024.0</v>
      </c>
      <c r="AY1" s="12">
        <v>2024.0</v>
      </c>
      <c r="AZ1" s="12">
        <v>2024.0</v>
      </c>
      <c r="BA1" s="12">
        <v>2024.0</v>
      </c>
      <c r="BB1" s="12">
        <v>2024.0</v>
      </c>
      <c r="BC1" s="12">
        <v>2024.0</v>
      </c>
      <c r="BD1" s="12">
        <v>2024.0</v>
      </c>
      <c r="BE1" s="12">
        <v>2024.0</v>
      </c>
      <c r="BF1" s="12">
        <v>2024.0</v>
      </c>
      <c r="BG1" s="12">
        <v>2024.0</v>
      </c>
      <c r="BH1" s="12">
        <v>2024.0</v>
      </c>
      <c r="BI1" s="12">
        <v>2024.0</v>
      </c>
      <c r="BJ1" s="13"/>
      <c r="BK1" s="13"/>
      <c r="BL1" s="13"/>
      <c r="BM1" s="13"/>
      <c r="BN1" s="13"/>
      <c r="BO1" s="13"/>
      <c r="BP1" s="13"/>
      <c r="BQ1" s="13"/>
      <c r="BR1" s="13"/>
      <c r="BS1" s="13"/>
      <c r="BT1" s="13"/>
      <c r="BU1" s="13"/>
      <c r="BV1" s="13"/>
      <c r="BW1" s="13"/>
      <c r="BX1" s="13"/>
      <c r="BY1" s="13"/>
      <c r="BZ1" s="13"/>
      <c r="CA1" s="13"/>
      <c r="CB1" s="13"/>
      <c r="CC1" s="13"/>
      <c r="CD1" s="13"/>
      <c r="CE1" s="13"/>
      <c r="CF1" s="13"/>
      <c r="CG1" s="13"/>
      <c r="CH1" s="13"/>
      <c r="CI1" s="13"/>
      <c r="CJ1" s="13"/>
      <c r="CK1" s="13"/>
      <c r="CL1" s="13"/>
      <c r="CM1" s="13"/>
      <c r="CN1" s="13"/>
      <c r="CO1" s="13"/>
      <c r="CP1" s="13"/>
      <c r="CQ1" s="13"/>
      <c r="CR1" s="13"/>
      <c r="CS1" s="13"/>
      <c r="CT1" s="13"/>
      <c r="CU1" s="13"/>
      <c r="CV1" s="13"/>
      <c r="CW1" s="13"/>
      <c r="CX1" s="13"/>
      <c r="CY1" s="13"/>
      <c r="CZ1" s="13"/>
      <c r="DA1" s="13"/>
    </row>
    <row r="2">
      <c r="A2" s="11" t="s">
        <v>47</v>
      </c>
      <c r="B2" s="12">
        <v>1.0</v>
      </c>
      <c r="C2" s="12">
        <v>1.0</v>
      </c>
      <c r="D2" s="12">
        <v>1.0</v>
      </c>
      <c r="E2" s="12">
        <v>1.0</v>
      </c>
      <c r="F2" s="12">
        <v>1.0</v>
      </c>
      <c r="G2" s="12">
        <v>2.0</v>
      </c>
      <c r="H2" s="12">
        <v>2.0</v>
      </c>
      <c r="I2" s="12">
        <v>2.0</v>
      </c>
      <c r="J2" s="12">
        <v>2.0</v>
      </c>
      <c r="K2" s="12">
        <v>2.0</v>
      </c>
      <c r="L2" s="12">
        <v>3.0</v>
      </c>
      <c r="M2" s="12">
        <v>3.0</v>
      </c>
      <c r="N2" s="12">
        <v>3.0</v>
      </c>
      <c r="O2" s="12">
        <v>3.0</v>
      </c>
      <c r="P2" s="12">
        <v>3.0</v>
      </c>
      <c r="Q2" s="12">
        <v>4.0</v>
      </c>
      <c r="R2" s="12">
        <v>4.0</v>
      </c>
      <c r="S2" s="12">
        <v>4.0</v>
      </c>
      <c r="T2" s="12">
        <v>4.0</v>
      </c>
      <c r="U2" s="12">
        <v>4.0</v>
      </c>
      <c r="V2" s="12">
        <v>5.0</v>
      </c>
      <c r="W2" s="12">
        <v>5.0</v>
      </c>
      <c r="X2" s="12">
        <v>5.0</v>
      </c>
      <c r="Y2" s="12">
        <v>5.0</v>
      </c>
      <c r="Z2" s="12">
        <v>5.0</v>
      </c>
      <c r="AA2" s="12">
        <v>6.0</v>
      </c>
      <c r="AB2" s="12">
        <v>6.0</v>
      </c>
      <c r="AC2" s="12">
        <v>6.0</v>
      </c>
      <c r="AD2" s="12">
        <v>6.0</v>
      </c>
      <c r="AE2" s="12">
        <v>6.0</v>
      </c>
      <c r="AF2" s="12">
        <v>7.0</v>
      </c>
      <c r="AG2" s="12">
        <v>7.0</v>
      </c>
      <c r="AH2" s="12">
        <v>7.0</v>
      </c>
      <c r="AI2" s="12">
        <v>7.0</v>
      </c>
      <c r="AJ2" s="12">
        <v>7.0</v>
      </c>
      <c r="AK2" s="12">
        <v>8.0</v>
      </c>
      <c r="AL2" s="12">
        <v>8.0</v>
      </c>
      <c r="AM2" s="12">
        <v>8.0</v>
      </c>
      <c r="AN2" s="12">
        <v>8.0</v>
      </c>
      <c r="AO2" s="12">
        <v>8.0</v>
      </c>
      <c r="AP2" s="12">
        <v>9.0</v>
      </c>
      <c r="AQ2" s="12">
        <v>9.0</v>
      </c>
      <c r="AR2" s="12">
        <v>9.0</v>
      </c>
      <c r="AS2" s="12">
        <v>9.0</v>
      </c>
      <c r="AT2" s="12">
        <v>9.0</v>
      </c>
      <c r="AU2" s="12">
        <v>10.0</v>
      </c>
      <c r="AV2" s="12">
        <v>10.0</v>
      </c>
      <c r="AW2" s="12">
        <v>10.0</v>
      </c>
      <c r="AX2" s="12">
        <v>10.0</v>
      </c>
      <c r="AY2" s="12">
        <v>10.0</v>
      </c>
      <c r="AZ2" s="12">
        <v>11.0</v>
      </c>
      <c r="BA2" s="12">
        <v>11.0</v>
      </c>
      <c r="BB2" s="12">
        <v>11.0</v>
      </c>
      <c r="BC2" s="12">
        <v>11.0</v>
      </c>
      <c r="BD2" s="12">
        <v>11.0</v>
      </c>
      <c r="BE2" s="12">
        <v>12.0</v>
      </c>
      <c r="BF2" s="12">
        <v>12.0</v>
      </c>
      <c r="BG2" s="12">
        <v>12.0</v>
      </c>
      <c r="BH2" s="12">
        <v>12.0</v>
      </c>
      <c r="BI2" s="12">
        <v>12.0</v>
      </c>
      <c r="BJ2" s="13"/>
      <c r="BK2" s="13"/>
      <c r="BL2" s="13"/>
      <c r="BM2" s="13"/>
      <c r="BN2" s="13"/>
      <c r="BO2" s="13"/>
      <c r="BP2" s="13"/>
      <c r="BQ2" s="13"/>
      <c r="BR2" s="13"/>
      <c r="BS2" s="13"/>
      <c r="BT2" s="13"/>
      <c r="BU2" s="13"/>
      <c r="BV2" s="13"/>
      <c r="BW2" s="13"/>
      <c r="BX2" s="13"/>
      <c r="BY2" s="13"/>
      <c r="BZ2" s="13"/>
      <c r="CA2" s="13"/>
      <c r="CB2" s="13"/>
      <c r="CC2" s="13"/>
      <c r="CD2" s="13"/>
      <c r="CE2" s="13"/>
      <c r="CF2" s="13"/>
      <c r="CG2" s="13"/>
      <c r="CH2" s="13"/>
      <c r="CI2" s="13"/>
      <c r="CJ2" s="13"/>
      <c r="CK2" s="13"/>
      <c r="CL2" s="13"/>
      <c r="CM2" s="13"/>
      <c r="CN2" s="13"/>
      <c r="CO2" s="13"/>
      <c r="CP2" s="13"/>
      <c r="CQ2" s="13"/>
      <c r="CR2" s="13"/>
      <c r="CS2" s="13"/>
      <c r="CT2" s="13"/>
      <c r="CU2" s="13"/>
      <c r="CV2" s="13"/>
      <c r="CW2" s="13"/>
      <c r="CX2" s="13"/>
      <c r="CY2" s="13"/>
      <c r="CZ2" s="13"/>
      <c r="DA2" s="13"/>
    </row>
    <row r="3">
      <c r="A3" s="11" t="s">
        <v>48</v>
      </c>
      <c r="B3" s="12" t="s">
        <v>49</v>
      </c>
      <c r="G3" s="12" t="s">
        <v>50</v>
      </c>
      <c r="L3" s="12" t="s">
        <v>51</v>
      </c>
      <c r="Q3" s="12" t="s">
        <v>52</v>
      </c>
      <c r="V3" s="12" t="s">
        <v>53</v>
      </c>
      <c r="AA3" s="12" t="s">
        <v>54</v>
      </c>
      <c r="AF3" s="12" t="s">
        <v>55</v>
      </c>
      <c r="AK3" s="12" t="s">
        <v>56</v>
      </c>
      <c r="AP3" s="12" t="s">
        <v>57</v>
      </c>
      <c r="AU3" s="12" t="s">
        <v>58</v>
      </c>
      <c r="AZ3" s="12" t="s">
        <v>59</v>
      </c>
      <c r="BE3" s="12" t="s">
        <v>60</v>
      </c>
      <c r="BJ3" s="14" t="s">
        <v>61</v>
      </c>
      <c r="BK3" s="13"/>
      <c r="BL3" s="13"/>
      <c r="BM3" s="13"/>
      <c r="BN3" s="13"/>
      <c r="BO3" s="13"/>
      <c r="BP3" s="13"/>
      <c r="BQ3" s="13"/>
      <c r="BR3" s="13"/>
      <c r="BS3" s="13"/>
      <c r="BT3" s="13"/>
      <c r="BU3" s="13"/>
      <c r="BV3" s="13"/>
      <c r="BW3" s="13"/>
      <c r="BX3" s="13"/>
      <c r="BY3" s="13"/>
      <c r="BZ3" s="13"/>
      <c r="CA3" s="13"/>
      <c r="CB3" s="13"/>
      <c r="CC3" s="13"/>
      <c r="CD3" s="13"/>
      <c r="CE3" s="13"/>
      <c r="CF3" s="13"/>
      <c r="CG3" s="13"/>
      <c r="CH3" s="13"/>
      <c r="CI3" s="13"/>
      <c r="CJ3" s="13"/>
      <c r="CK3" s="13"/>
      <c r="CL3" s="13"/>
      <c r="CM3" s="13"/>
      <c r="CN3" s="13"/>
      <c r="CO3" s="13"/>
      <c r="CP3" s="13"/>
      <c r="CQ3" s="13"/>
      <c r="CR3" s="13"/>
      <c r="CS3" s="13"/>
      <c r="CT3" s="13"/>
      <c r="CU3" s="13"/>
      <c r="CV3" s="13"/>
      <c r="CW3" s="13"/>
      <c r="CX3" s="13"/>
      <c r="CY3" s="13"/>
      <c r="CZ3" s="13"/>
      <c r="DA3" s="13"/>
    </row>
    <row r="4">
      <c r="B4" s="13" t="s">
        <v>62</v>
      </c>
      <c r="C4" s="13" t="s">
        <v>63</v>
      </c>
      <c r="D4" s="13" t="s">
        <v>64</v>
      </c>
      <c r="E4" s="13" t="s">
        <v>65</v>
      </c>
      <c r="F4" s="13" t="s">
        <v>66</v>
      </c>
      <c r="G4" s="13" t="s">
        <v>62</v>
      </c>
      <c r="H4" s="13" t="s">
        <v>63</v>
      </c>
      <c r="I4" s="13" t="s">
        <v>64</v>
      </c>
      <c r="J4" s="13" t="s">
        <v>65</v>
      </c>
      <c r="K4" s="13" t="s">
        <v>66</v>
      </c>
      <c r="L4" s="13" t="s">
        <v>62</v>
      </c>
      <c r="M4" s="13" t="s">
        <v>63</v>
      </c>
      <c r="N4" s="13" t="s">
        <v>64</v>
      </c>
      <c r="O4" s="13" t="s">
        <v>65</v>
      </c>
      <c r="P4" s="13" t="s">
        <v>66</v>
      </c>
      <c r="Q4" s="13" t="s">
        <v>62</v>
      </c>
      <c r="R4" s="13" t="s">
        <v>63</v>
      </c>
      <c r="S4" s="13" t="s">
        <v>64</v>
      </c>
      <c r="T4" s="13" t="s">
        <v>65</v>
      </c>
      <c r="U4" s="13" t="s">
        <v>66</v>
      </c>
      <c r="V4" s="13" t="s">
        <v>62</v>
      </c>
      <c r="W4" s="13" t="s">
        <v>63</v>
      </c>
      <c r="X4" s="13" t="s">
        <v>64</v>
      </c>
      <c r="Y4" s="13" t="s">
        <v>65</v>
      </c>
      <c r="Z4" s="13" t="s">
        <v>66</v>
      </c>
      <c r="AA4" s="13" t="s">
        <v>62</v>
      </c>
      <c r="AB4" s="13" t="s">
        <v>63</v>
      </c>
      <c r="AC4" s="13" t="s">
        <v>64</v>
      </c>
      <c r="AD4" s="13" t="s">
        <v>65</v>
      </c>
      <c r="AE4" s="13" t="s">
        <v>66</v>
      </c>
      <c r="AF4" s="13" t="s">
        <v>62</v>
      </c>
      <c r="AG4" s="13" t="s">
        <v>63</v>
      </c>
      <c r="AH4" s="13" t="s">
        <v>64</v>
      </c>
      <c r="AI4" s="13" t="s">
        <v>65</v>
      </c>
      <c r="AJ4" s="13" t="s">
        <v>66</v>
      </c>
      <c r="AK4" s="13" t="s">
        <v>62</v>
      </c>
      <c r="AL4" s="13" t="s">
        <v>63</v>
      </c>
      <c r="AM4" s="13" t="s">
        <v>64</v>
      </c>
      <c r="AN4" s="13" t="s">
        <v>65</v>
      </c>
      <c r="AO4" s="13" t="s">
        <v>66</v>
      </c>
      <c r="AP4" s="13" t="s">
        <v>62</v>
      </c>
      <c r="AQ4" s="13" t="s">
        <v>63</v>
      </c>
      <c r="AR4" s="13" t="s">
        <v>64</v>
      </c>
      <c r="AS4" s="13" t="s">
        <v>65</v>
      </c>
      <c r="AT4" s="13" t="s">
        <v>66</v>
      </c>
      <c r="AU4" s="13" t="s">
        <v>62</v>
      </c>
      <c r="AV4" s="13" t="s">
        <v>63</v>
      </c>
      <c r="AW4" s="13" t="s">
        <v>64</v>
      </c>
      <c r="AX4" s="13" t="s">
        <v>65</v>
      </c>
      <c r="AY4" s="13" t="s">
        <v>66</v>
      </c>
      <c r="AZ4" s="13" t="s">
        <v>62</v>
      </c>
      <c r="BA4" s="13" t="s">
        <v>63</v>
      </c>
      <c r="BB4" s="13" t="s">
        <v>64</v>
      </c>
      <c r="BC4" s="13" t="s">
        <v>65</v>
      </c>
      <c r="BD4" s="13" t="s">
        <v>66</v>
      </c>
      <c r="BE4" s="13" t="s">
        <v>62</v>
      </c>
      <c r="BF4" s="13" t="s">
        <v>63</v>
      </c>
      <c r="BG4" s="13" t="s">
        <v>64</v>
      </c>
      <c r="BH4" s="13" t="s">
        <v>65</v>
      </c>
      <c r="BI4" s="13" t="s">
        <v>66</v>
      </c>
      <c r="BK4" s="13" t="s">
        <v>67</v>
      </c>
      <c r="BL4" s="13" t="s">
        <v>68</v>
      </c>
      <c r="BM4" s="13" t="s">
        <v>69</v>
      </c>
      <c r="BN4" s="13" t="s">
        <v>70</v>
      </c>
      <c r="BO4" s="13" t="s">
        <v>71</v>
      </c>
      <c r="BP4" s="13" t="s">
        <v>72</v>
      </c>
      <c r="BQ4" s="13"/>
      <c r="BR4" s="13"/>
      <c r="BS4" s="13"/>
      <c r="BT4" s="13"/>
      <c r="BU4" s="13"/>
      <c r="BV4" s="13"/>
      <c r="BW4" s="13"/>
      <c r="BX4" s="13"/>
      <c r="BY4" s="13"/>
      <c r="BZ4" s="13"/>
      <c r="CA4" s="13"/>
      <c r="CB4" s="13"/>
      <c r="CC4" s="13"/>
      <c r="CD4" s="13"/>
      <c r="CE4" s="13"/>
      <c r="CF4" s="13"/>
      <c r="CG4" s="13"/>
      <c r="CH4" s="13"/>
      <c r="CI4" s="13"/>
      <c r="CJ4" s="13"/>
      <c r="CK4" s="13"/>
      <c r="CL4" s="13"/>
      <c r="CM4" s="13"/>
      <c r="CN4" s="13"/>
      <c r="CO4" s="13"/>
      <c r="CP4" s="13"/>
      <c r="CQ4" s="13"/>
      <c r="CR4" s="13"/>
      <c r="CS4" s="13"/>
      <c r="CT4" s="13"/>
      <c r="CU4" s="13"/>
      <c r="CV4" s="13"/>
      <c r="CW4" s="13"/>
      <c r="CX4" s="13"/>
      <c r="CY4" s="13"/>
      <c r="CZ4" s="13"/>
      <c r="DA4" s="13"/>
    </row>
    <row r="5">
      <c r="A5" s="2" t="s">
        <v>14</v>
      </c>
      <c r="B5" s="15">
        <v>0.0</v>
      </c>
      <c r="C5" s="16">
        <f>sumifs(accountingImpact,assetLookUp,$A5,financialMonth,C$2,financialYear,C$1,transactionType,"Revaluation")</f>
        <v>0</v>
      </c>
      <c r="D5" s="16">
        <f>sumifs(accountingImpact,assetLookUp,$A5,financialMonth,C$2,financialYear,C$1,transactionType,"Acquisition")</f>
        <v>5000000</v>
      </c>
      <c r="E5" s="16">
        <f>sumifs(accountingImpact,assetLookUp,$A5,financialMonth,C$2,financialYear,C$1,transactionType,"Disposal")</f>
        <v>0</v>
      </c>
      <c r="F5" s="16">
        <f t="array" ref="F5">-sum(B5:E5)*index(depnRateAcc,match($A5,assetLookUp,0),)</f>
        <v>0</v>
      </c>
      <c r="G5" s="16">
        <f t="shared" ref="G5:G10" si="1">sum(B5:F5)</f>
        <v>5000000</v>
      </c>
      <c r="H5" s="16">
        <f>sumifs(accountingImpact,assetLookUp,$A5,financialMonth,H$2,financialYear,H$1,transactionType,"Revaluation")</f>
        <v>0</v>
      </c>
      <c r="I5" s="16">
        <f>sumifs(accountingImpact,assetLookUp,$A5,financialMonth,H$2,financialYear,H$1,transactionType,"Acquisition")</f>
        <v>0</v>
      </c>
      <c r="J5" s="16">
        <f>sumifs(accountingImpact,assetLookUp,$A5,financialMonth,H$2,financialYear,H$1,transactionType,"Disposal")</f>
        <v>0</v>
      </c>
      <c r="K5" s="16">
        <f t="array" ref="K5">-sum(G5:J5)*index(depnRateAcc,match($A5,assetLookUp,0),)</f>
        <v>0</v>
      </c>
      <c r="L5" s="16">
        <f t="shared" ref="L5:L10" si="2">sum(G5:K5)</f>
        <v>5000000</v>
      </c>
      <c r="M5" s="16">
        <f>sumifs(accountingImpact,assetLookUp,$A5,financialMonth,M$2,financialYear,M$1,transactionType,"Revaluation")</f>
        <v>0</v>
      </c>
      <c r="N5" s="16">
        <f>sumifs(accountingImpact,assetLookUp,$A5,financialMonth,M$2,financialYear,M$1,transactionType,"Acquisition")</f>
        <v>0</v>
      </c>
      <c r="O5" s="16">
        <f>sumifs(accountingImpact,assetLookUp,$A5,financialMonth,M$2,financialYear,M$1,transactionType,"Disposal")</f>
        <v>0</v>
      </c>
      <c r="P5" s="16">
        <f t="array" ref="P5">-sum(L5:O5)*index(depnRateAcc,match($A5,assetLookUp,0),)</f>
        <v>0</v>
      </c>
      <c r="Q5" s="16">
        <f t="shared" ref="Q5:Q10" si="3">sum(L5:P5)</f>
        <v>5000000</v>
      </c>
      <c r="R5" s="16">
        <f>sumifs(accountingImpact,assetLookUp,$A5,financialMonth,R$2,financialYear,R$1,transactionType,"Revaluation")</f>
        <v>0</v>
      </c>
      <c r="S5" s="16">
        <f>sumifs(accountingImpact,assetLookUp,$A5,financialMonth,R$2,financialYear,R$1,transactionType,"Acquisition")</f>
        <v>0</v>
      </c>
      <c r="T5" s="16">
        <f>sumifs(accountingImpact,assetLookUp,$A5,financialMonth,R$2,financialYear,R$1,transactionType,"Disposal")</f>
        <v>0</v>
      </c>
      <c r="U5" s="16">
        <f t="array" ref="U5">-sum(Q5:T5)*index(depnRateAcc,match($A5,assetLookUp,0),)</f>
        <v>0</v>
      </c>
      <c r="V5" s="16">
        <f t="shared" ref="V5:V10" si="4">sum(Q5:U5)</f>
        <v>5000000</v>
      </c>
      <c r="W5" s="16">
        <f>sumifs(accountingImpact,assetLookUp,$A5,financialMonth,W$2,financialYear,W$1,transactionType,"Revaluation")</f>
        <v>0</v>
      </c>
      <c r="X5" s="16">
        <f>sumifs(accountingImpact,assetLookUp,$A5,financialMonth,W$2,financialYear,W$1,transactionType,"Acquisition")</f>
        <v>0</v>
      </c>
      <c r="Y5" s="16">
        <f>sumifs(accountingImpact,assetLookUp,$A5,financialMonth,W$2,financialYear,W$1,transactionType,"Disposal")</f>
        <v>0</v>
      </c>
      <c r="Z5" s="16">
        <f t="array" ref="Z5">-sum(V5:Y5)*index(depnRateAcc,match($A5,assetLookUp,0),)</f>
        <v>0</v>
      </c>
      <c r="AA5" s="16">
        <f t="shared" ref="AA5:AA10" si="5">sum(V5:Z5)</f>
        <v>5000000</v>
      </c>
      <c r="AB5" s="16">
        <f>sumifs(accountingImpact,assetLookUp,$A5,financialMonth,AB$2,financialYear,AB$1,transactionType,"Revaluation")</f>
        <v>0</v>
      </c>
      <c r="AC5" s="16">
        <f>sumifs(accountingImpact,assetLookUp,$A5,financialMonth,AB$2,financialYear,AB$1,transactionType,"Acquisition")</f>
        <v>0</v>
      </c>
      <c r="AD5" s="16">
        <f>sumifs(accountingImpact,assetLookUp,$A5,financialMonth,AB$2,financialYear,AB$1,transactionType,"Disposal")</f>
        <v>0</v>
      </c>
      <c r="AE5" s="16">
        <f t="array" ref="AE5">-sum(AA5:AD5)*index(depnRateAcc,match($A5,assetLookUp,0),)</f>
        <v>0</v>
      </c>
      <c r="AF5" s="16">
        <f t="shared" ref="AF5:AF10" si="6">sum(AA5:AE5)</f>
        <v>5000000</v>
      </c>
      <c r="AG5" s="16">
        <f>sumifs(accountingImpact,assetLookUp,$A5,financialMonth,AG$2,financialYear,AG$1,transactionType,"Revaluation")</f>
        <v>0</v>
      </c>
      <c r="AH5" s="16">
        <f>sumifs(accountingImpact,assetLookUp,$A5,financialMonth,AG$2,financialYear,AG$1,transactionType,"Acquisition")</f>
        <v>0</v>
      </c>
      <c r="AI5" s="16">
        <f>sumifs(accountingImpact,assetLookUp,$A5,financialMonth,AG$2,financialYear,AG$1,transactionType,"Disposal")</f>
        <v>0</v>
      </c>
      <c r="AJ5" s="16">
        <f t="array" ref="AJ5">-sum(AF5:AI5)*index(depnRateAcc,match($A5,assetLookUp,0),)</f>
        <v>0</v>
      </c>
      <c r="AK5" s="16">
        <f t="shared" ref="AK5:AK10" si="7">sum(AF5:AJ5)</f>
        <v>5000000</v>
      </c>
      <c r="AL5" s="16">
        <f>sumifs(accountingImpact,assetLookUp,$A5,financialMonth,AL$2,financialYear,AL$1,transactionType,"Revaluation")</f>
        <v>0</v>
      </c>
      <c r="AM5" s="16">
        <f>sumifs(accountingImpact,assetLookUp,$A5,financialMonth,AL$2,financialYear,AL$1,transactionType,"Acquisition")</f>
        <v>0</v>
      </c>
      <c r="AN5" s="16">
        <f>sumifs(accountingImpact,assetLookUp,$A5,financialMonth,AL$2,financialYear,AL$1,transactionType,"Disposal")</f>
        <v>0</v>
      </c>
      <c r="AO5" s="16">
        <f t="array" ref="AO5">-sum(AK5:AN5)*index(depnRateAcc,match($A5,assetLookUp,0),)</f>
        <v>0</v>
      </c>
      <c r="AP5" s="16">
        <f t="shared" ref="AP5:AP10" si="8">sum(AK5:AO5)</f>
        <v>5000000</v>
      </c>
      <c r="AQ5" s="16">
        <f>sumifs(accountingImpact,assetLookUp,$A5,financialMonth,AQ$2,financialYear,AQ$1,transactionType,"Revaluation")</f>
        <v>0</v>
      </c>
      <c r="AR5" s="16">
        <f>sumifs(accountingImpact,assetLookUp,$A5,financialMonth,AQ$2,financialYear,AQ$1,transactionType,"Acquisition")</f>
        <v>0</v>
      </c>
      <c r="AS5" s="16">
        <f>sumifs(accountingImpact,assetLookUp,$A5,financialMonth,AQ$2,financialYear,AQ$1,transactionType,"Disposal")</f>
        <v>0</v>
      </c>
      <c r="AT5" s="16">
        <f t="array" ref="AT5">-sum(AP5:AS5)*index(depnRateAcc,match($A5,assetLookUp,0),)</f>
        <v>0</v>
      </c>
      <c r="AU5" s="16">
        <f t="shared" ref="AU5:AU10" si="9">sum(AP5:AT5)</f>
        <v>5000000</v>
      </c>
      <c r="AV5" s="16">
        <f>sumifs(accountingImpact,assetLookUp,$A5,financialMonth,AV$2,financialYear,AV$1,transactionType,"Revaluation")</f>
        <v>0</v>
      </c>
      <c r="AW5" s="16">
        <f>sumifs(accountingImpact,assetLookUp,$A5,financialMonth,AV$2,financialYear,AV$1,transactionType,"Acquisition")</f>
        <v>0</v>
      </c>
      <c r="AX5" s="16">
        <f>sumifs(accountingImpact,assetLookUp,$A5,financialMonth,AV$2,financialYear,AV$1,transactionType,"Disposal")</f>
        <v>0</v>
      </c>
      <c r="AY5" s="16">
        <f t="array" ref="AY5">-sum(AU5:AX5)*index(depnRateAcc,match($A5,assetLookUp,0),)</f>
        <v>0</v>
      </c>
      <c r="AZ5" s="16">
        <f t="shared" ref="AZ5:AZ10" si="10">sum(AU5:AY5)</f>
        <v>5000000</v>
      </c>
      <c r="BA5" s="16">
        <f>sumifs(accountingImpact,assetLookUp,$A5,financialMonth,BA$2,financialYear,BA$1,transactionType,"Revaluation")</f>
        <v>0</v>
      </c>
      <c r="BB5" s="16">
        <f>sumifs(accountingImpact,assetLookUp,$A5,financialMonth,BA$2,financialYear,BA$1,transactionType,"Acquisition")</f>
        <v>0</v>
      </c>
      <c r="BC5" s="16">
        <f>sumifs(accountingImpact,assetLookUp,$A5,financialMonth,BA$2,financialYear,BA$1,transactionType,"Disposal")</f>
        <v>0</v>
      </c>
      <c r="BD5" s="16">
        <f t="array" ref="BD5">-sum(AZ5:BC5)*index(depnRateAcc,match($A5,assetLookUp,0),)</f>
        <v>0</v>
      </c>
      <c r="BE5" s="16">
        <f t="shared" ref="BE5:BE10" si="11">sum(AZ5:BD5)</f>
        <v>5000000</v>
      </c>
      <c r="BF5" s="16">
        <f>sumifs(accountingImpact,assetLookUp,$A5,financialMonth,BF$2,financialYear,BF$1,transactionType,"Revaluation")</f>
        <v>0</v>
      </c>
      <c r="BG5" s="16">
        <f>sumifs(accountingImpact,assetLookUp,$A5,financialMonth,BF$2,financialYear,BF$1,transactionType,"Acquisition")</f>
        <v>0</v>
      </c>
      <c r="BH5" s="16">
        <f>sumifs(accountingImpact,assetLookUp,$A5,financialMonth,BF$2,financialYear,BF$1,transactionType,"Disposal")</f>
        <v>0</v>
      </c>
      <c r="BI5" s="16">
        <f t="array" ref="BI5">-sum(BE5:BH5)*index(depnRateAcc,match($A5,assetLookUp,0),)</f>
        <v>0</v>
      </c>
      <c r="BJ5" s="4" t="str">
        <f t="array" ref="BJ5">index(assetClass,match($A5,assetLookUp,0))</f>
        <v>Land (freehold)</v>
      </c>
      <c r="BK5" s="16">
        <f t="shared" ref="BK5:BK10" si="12">B5</f>
        <v>0</v>
      </c>
      <c r="BL5" s="16">
        <f t="shared" ref="BL5:BL10" si="13">sumif($B$4:$BI$4,"Revalns",$B5:$BI5)</f>
        <v>0</v>
      </c>
      <c r="BM5" s="16">
        <f t="shared" ref="BM5:BM10" si="14">sumif($B$4:$BI$4,"Acquisitions",$B5:$BI5)</f>
        <v>5000000</v>
      </c>
      <c r="BN5" s="16">
        <f t="shared" ref="BN5:BN10" si="15">sumif($B$4:$BI$4,"Disposals",$B5:$BI5)</f>
        <v>0</v>
      </c>
      <c r="BO5" s="16">
        <f t="shared" ref="BO5:BO10" si="16">sumif($B$4:$BI$4,"Depn",$B5:$BI5)</f>
        <v>0</v>
      </c>
      <c r="BP5" s="16">
        <f t="shared" ref="BP5:BP10" si="17">sum(BK5:BO5)</f>
        <v>5000000</v>
      </c>
    </row>
    <row r="6">
      <c r="A6" s="2" t="s">
        <v>20</v>
      </c>
      <c r="B6" s="15">
        <v>0.0</v>
      </c>
      <c r="C6" s="16">
        <f>sumifs(accountingImpact,assetLookUp,$A6,financialMonth,C$2,financialYear,C$1,transactionType,"Revaluation")</f>
        <v>0</v>
      </c>
      <c r="D6" s="16">
        <f>sumifs(accountingImpact,assetLookUp,$A6,financialMonth,C$2,financialYear,C$1,transactionType,"Acquisition")</f>
        <v>2000000</v>
      </c>
      <c r="E6" s="16">
        <f>sumifs(accountingImpact,assetLookUp,$A6,financialMonth,C$2,financialYear,C$1,transactionType,"Disposal")</f>
        <v>0</v>
      </c>
      <c r="F6" s="16">
        <f t="array" ref="F6">-sum(B6:E6)*index(depnRateAcc,match($A6,assetLookUp,0),)</f>
        <v>-40000</v>
      </c>
      <c r="G6" s="16">
        <f t="shared" si="1"/>
        <v>1960000</v>
      </c>
      <c r="H6" s="16">
        <f>sumifs(accountingImpact,assetLookUp,$A6,financialMonth,H$2,financialYear,H$1,transactionType,"Revaluation")</f>
        <v>0</v>
      </c>
      <c r="I6" s="16">
        <f>sumifs(accountingImpact,assetLookUp,$A6,financialMonth,H$2,financialYear,H$1,transactionType,"Acquisition")</f>
        <v>0</v>
      </c>
      <c r="J6" s="16">
        <f>sumifs(accountingImpact,assetLookUp,$A6,financialMonth,H$2,financialYear,H$1,transactionType,"Disposal")</f>
        <v>0</v>
      </c>
      <c r="K6" s="16">
        <f t="array" ref="K6">-sum(G6:J6)*index(depnRateAcc,match($A6,assetLookUp,0),)</f>
        <v>-39200</v>
      </c>
      <c r="L6" s="16">
        <f t="shared" si="2"/>
        <v>1920800</v>
      </c>
      <c r="M6" s="16">
        <f>sumifs(accountingImpact,assetLookUp,$A6,financialMonth,M$2,financialYear,M$1,transactionType,"Revaluation")</f>
        <v>0</v>
      </c>
      <c r="N6" s="16">
        <f>sumifs(accountingImpact,assetLookUp,$A6,financialMonth,M$2,financialYear,M$1,transactionType,"Acquisition")</f>
        <v>0</v>
      </c>
      <c r="O6" s="16">
        <f>sumifs(accountingImpact,assetLookUp,$A6,financialMonth,M$2,financialYear,M$1,transactionType,"Disposal")</f>
        <v>0</v>
      </c>
      <c r="P6" s="16">
        <f t="array" ref="P6">-sum(L6:O6)*index(depnRateAcc,match($A6,assetLookUp,0),)</f>
        <v>-38416</v>
      </c>
      <c r="Q6" s="16">
        <f t="shared" si="3"/>
        <v>1882384</v>
      </c>
      <c r="R6" s="16">
        <f>sumifs(accountingImpact,assetLookUp,$A6,financialMonth,R$2,financialYear,R$1,transactionType,"Revaluation")</f>
        <v>0</v>
      </c>
      <c r="S6" s="16">
        <f>sumifs(accountingImpact,assetLookUp,$A6,financialMonth,R$2,financialYear,R$1,transactionType,"Acquisition")</f>
        <v>0</v>
      </c>
      <c r="T6" s="16">
        <f>sumifs(accountingImpact,assetLookUp,$A6,financialMonth,R$2,financialYear,R$1,transactionType,"Disposal")</f>
        <v>0</v>
      </c>
      <c r="U6" s="16">
        <f t="array" ref="U6">-sum(Q6:T6)*index(depnRateAcc,match($A6,assetLookUp,0),)</f>
        <v>-37647.68</v>
      </c>
      <c r="V6" s="16">
        <f t="shared" si="4"/>
        <v>1844736.32</v>
      </c>
      <c r="W6" s="16">
        <f>sumifs(accountingImpact,assetLookUp,$A6,financialMonth,W$2,financialYear,W$1,transactionType,"Revaluation")</f>
        <v>0</v>
      </c>
      <c r="X6" s="16">
        <f>sumifs(accountingImpact,assetLookUp,$A6,financialMonth,W$2,financialYear,W$1,transactionType,"Acquisition")</f>
        <v>0</v>
      </c>
      <c r="Y6" s="16">
        <f>sumifs(accountingImpact,assetLookUp,$A6,financialMonth,W$2,financialYear,W$1,transactionType,"Disposal")</f>
        <v>0</v>
      </c>
      <c r="Z6" s="16">
        <f t="array" ref="Z6">-sum(V6:Y6)*index(depnRateAcc,match($A6,assetLookUp,0),)</f>
        <v>-36894.7264</v>
      </c>
      <c r="AA6" s="16">
        <f t="shared" si="5"/>
        <v>1807841.594</v>
      </c>
      <c r="AB6" s="16">
        <f>sumifs(accountingImpact,assetLookUp,$A6,financialMonth,AB$2,financialYear,AB$1,transactionType,"Revaluation")</f>
        <v>0</v>
      </c>
      <c r="AC6" s="16">
        <f>sumifs(accountingImpact,assetLookUp,$A6,financialMonth,AB$2,financialYear,AB$1,transactionType,"Acquisition")</f>
        <v>0</v>
      </c>
      <c r="AD6" s="16">
        <f>sumifs(accountingImpact,assetLookUp,$A6,financialMonth,AB$2,financialYear,AB$1,transactionType,"Disposal")</f>
        <v>0</v>
      </c>
      <c r="AE6" s="16">
        <f t="array" ref="AE6">-sum(AA6:AD6)*index(depnRateAcc,match($A6,assetLookUp,0),)</f>
        <v>-36156.83187</v>
      </c>
      <c r="AF6" s="16">
        <f t="shared" si="6"/>
        <v>1771684.762</v>
      </c>
      <c r="AG6" s="16">
        <f>sumifs(accountingImpact,assetLookUp,$A6,financialMonth,AG$2,financialYear,AG$1,transactionType,"Revaluation")</f>
        <v>0</v>
      </c>
      <c r="AH6" s="16">
        <f>sumifs(accountingImpact,assetLookUp,$A6,financialMonth,AG$2,financialYear,AG$1,transactionType,"Acquisition")</f>
        <v>0</v>
      </c>
      <c r="AI6" s="16">
        <f>sumifs(accountingImpact,assetLookUp,$A6,financialMonth,AG$2,financialYear,AG$1,transactionType,"Disposal")</f>
        <v>0</v>
      </c>
      <c r="AJ6" s="16">
        <f t="array" ref="AJ6">-sum(AF6:AI6)*index(depnRateAcc,match($A6,assetLookUp,0),)</f>
        <v>-35433.69523</v>
      </c>
      <c r="AK6" s="16">
        <f t="shared" si="7"/>
        <v>1736251.066</v>
      </c>
      <c r="AL6" s="16">
        <f>sumifs(accountingImpact,assetLookUp,$A6,financialMonth,AL$2,financialYear,AL$1,transactionType,"Revaluation")</f>
        <v>0</v>
      </c>
      <c r="AM6" s="16">
        <f>sumifs(accountingImpact,assetLookUp,$A6,financialMonth,AL$2,financialYear,AL$1,transactionType,"Acquisition")</f>
        <v>0</v>
      </c>
      <c r="AN6" s="16">
        <f>sumifs(accountingImpact,assetLookUp,$A6,financialMonth,AL$2,financialYear,AL$1,transactionType,"Disposal")</f>
        <v>0</v>
      </c>
      <c r="AO6" s="16">
        <f t="array" ref="AO6">-sum(AK6:AN6)*index(depnRateAcc,match($A6,assetLookUp,0),)</f>
        <v>-34725.02133</v>
      </c>
      <c r="AP6" s="16">
        <f t="shared" si="8"/>
        <v>1701526.045</v>
      </c>
      <c r="AQ6" s="16">
        <f>sumifs(accountingImpact,assetLookUp,$A6,financialMonth,AQ$2,financialYear,AQ$1,transactionType,"Revaluation")</f>
        <v>0</v>
      </c>
      <c r="AR6" s="16">
        <f>sumifs(accountingImpact,assetLookUp,$A6,financialMonth,AQ$2,financialYear,AQ$1,transactionType,"Acquisition")</f>
        <v>0</v>
      </c>
      <c r="AS6" s="16">
        <f>sumifs(accountingImpact,assetLookUp,$A6,financialMonth,AQ$2,financialYear,AQ$1,transactionType,"Disposal")</f>
        <v>0</v>
      </c>
      <c r="AT6" s="16">
        <f t="array" ref="AT6">-sum(AP6:AS6)*index(depnRateAcc,match($A6,assetLookUp,0),)</f>
        <v>-34030.5209</v>
      </c>
      <c r="AU6" s="16">
        <f t="shared" si="9"/>
        <v>1667495.524</v>
      </c>
      <c r="AV6" s="16">
        <f>sumifs(accountingImpact,assetLookUp,$A6,financialMonth,AV$2,financialYear,AV$1,transactionType,"Revaluation")</f>
        <v>0</v>
      </c>
      <c r="AW6" s="16">
        <f>sumifs(accountingImpact,assetLookUp,$A6,financialMonth,AV$2,financialYear,AV$1,transactionType,"Acquisition")</f>
        <v>0</v>
      </c>
      <c r="AX6" s="16">
        <f>sumifs(accountingImpact,assetLookUp,$A6,financialMonth,AV$2,financialYear,AV$1,transactionType,"Disposal")</f>
        <v>0</v>
      </c>
      <c r="AY6" s="16">
        <f t="array" ref="AY6">-sum(AU6:AX6)*index(depnRateAcc,match($A6,assetLookUp,0),)</f>
        <v>-33349.91049</v>
      </c>
      <c r="AZ6" s="16">
        <f t="shared" si="10"/>
        <v>1634145.614</v>
      </c>
      <c r="BA6" s="16">
        <f>sumifs(accountingImpact,assetLookUp,$A6,financialMonth,BA$2,financialYear,BA$1,transactionType,"Revaluation")</f>
        <v>0</v>
      </c>
      <c r="BB6" s="16">
        <f>sumifs(accountingImpact,assetLookUp,$A6,financialMonth,BA$2,financialYear,BA$1,transactionType,"Acquisition")</f>
        <v>0</v>
      </c>
      <c r="BC6" s="16">
        <f>sumifs(accountingImpact,assetLookUp,$A6,financialMonth,BA$2,financialYear,BA$1,transactionType,"Disposal")</f>
        <v>0</v>
      </c>
      <c r="BD6" s="16">
        <f t="array" ref="BD6">-sum(AZ6:BC6)*index(depnRateAcc,match($A6,assetLookUp,0),)</f>
        <v>-32682.91228</v>
      </c>
      <c r="BE6" s="16">
        <f t="shared" si="11"/>
        <v>1601462.701</v>
      </c>
      <c r="BF6" s="16">
        <f>sumifs(accountingImpact,assetLookUp,$A6,financialMonth,BF$2,financialYear,BF$1,transactionType,"Revaluation")</f>
        <v>0</v>
      </c>
      <c r="BG6" s="16">
        <f>sumifs(accountingImpact,assetLookUp,$A6,financialMonth,BF$2,financialYear,BF$1,transactionType,"Acquisition")</f>
        <v>0</v>
      </c>
      <c r="BH6" s="16">
        <f>sumifs(accountingImpact,assetLookUp,$A6,financialMonth,BF$2,financialYear,BF$1,transactionType,"Disposal")</f>
        <v>0</v>
      </c>
      <c r="BI6" s="16">
        <f t="array" ref="BI6">-sum(BE6:BH6)*index(depnRateAcc,match($A6,assetLookUp,0),)</f>
        <v>-32029.25403</v>
      </c>
      <c r="BJ6" s="4" t="str">
        <f t="array" ref="BJ6">index(assetClass,match($A6,assetLookUp,0))</f>
        <v>Building structure</v>
      </c>
      <c r="BK6" s="16">
        <f t="shared" si="12"/>
        <v>0</v>
      </c>
      <c r="BL6" s="16">
        <f t="shared" si="13"/>
        <v>0</v>
      </c>
      <c r="BM6" s="16">
        <f t="shared" si="14"/>
        <v>2000000</v>
      </c>
      <c r="BN6" s="16">
        <f t="shared" si="15"/>
        <v>0</v>
      </c>
      <c r="BO6" s="16">
        <f t="shared" si="16"/>
        <v>-430566.5525</v>
      </c>
      <c r="BP6" s="16">
        <f t="shared" si="17"/>
        <v>1569433.447</v>
      </c>
    </row>
    <row r="7">
      <c r="A7" s="2" t="s">
        <v>24</v>
      </c>
      <c r="B7" s="15">
        <v>0.0</v>
      </c>
      <c r="C7" s="16">
        <f>sumifs(accountingImpact,assetLookUp,$A7,financialMonth,C$2,financialYear,C$1,transactionType,"Revaluation")</f>
        <v>0</v>
      </c>
      <c r="D7" s="16">
        <f>sumifs(accountingImpact,assetLookUp,$A7,financialMonth,C$2,financialYear,C$1,transactionType,"Acquisition")</f>
        <v>600000</v>
      </c>
      <c r="E7" s="16">
        <f>sumifs(accountingImpact,assetLookUp,$A7,financialMonth,C$2,financialYear,C$1,transactionType,"Disposal")</f>
        <v>0</v>
      </c>
      <c r="F7" s="16">
        <f t="array" ref="F7">-sum(B7:E7)*index(depnRateAcc,match($A7,assetLookUp,0),)</f>
        <v>-120000</v>
      </c>
      <c r="G7" s="16">
        <f t="shared" si="1"/>
        <v>480000</v>
      </c>
      <c r="H7" s="16">
        <f>sumifs(accountingImpact,assetLookUp,$A7,financialMonth,H$2,financialYear,H$1,transactionType,"Revaluation")</f>
        <v>0</v>
      </c>
      <c r="I7" s="16">
        <f>sumifs(accountingImpact,assetLookUp,$A7,financialMonth,H$2,financialYear,H$1,transactionType,"Acquisition")</f>
        <v>0</v>
      </c>
      <c r="J7" s="16">
        <f>sumifs(accountingImpact,assetLookUp,$A7,financialMonth,H$2,financialYear,H$1,transactionType,"Disposal")</f>
        <v>0</v>
      </c>
      <c r="K7" s="16">
        <f t="array" ref="K7">-sum(G7:J7)*index(depnRateAcc,match($A7,assetLookUp,0),)</f>
        <v>-96000</v>
      </c>
      <c r="L7" s="16">
        <f t="shared" si="2"/>
        <v>384000</v>
      </c>
      <c r="M7" s="16">
        <f>sumifs(accountingImpact,assetLookUp,$A7,financialMonth,M$2,financialYear,M$1,transactionType,"Revaluation")</f>
        <v>0</v>
      </c>
      <c r="N7" s="16">
        <f>sumifs(accountingImpact,assetLookUp,$A7,financialMonth,M$2,financialYear,M$1,transactionType,"Acquisition")</f>
        <v>0</v>
      </c>
      <c r="O7" s="16">
        <f>sumifs(accountingImpact,assetLookUp,$A7,financialMonth,M$2,financialYear,M$1,transactionType,"Disposal")</f>
        <v>0</v>
      </c>
      <c r="P7" s="16">
        <f t="array" ref="P7">-sum(L7:O7)*index(depnRateAcc,match($A7,assetLookUp,0),)</f>
        <v>-76800</v>
      </c>
      <c r="Q7" s="16">
        <f t="shared" si="3"/>
        <v>307200</v>
      </c>
      <c r="R7" s="16">
        <f>sumifs(accountingImpact,assetLookUp,$A7,financialMonth,R$2,financialYear,R$1,transactionType,"Revaluation")</f>
        <v>0</v>
      </c>
      <c r="S7" s="16">
        <f>sumifs(accountingImpact,assetLookUp,$A7,financialMonth,R$2,financialYear,R$1,transactionType,"Acquisition")</f>
        <v>0</v>
      </c>
      <c r="T7" s="16">
        <f>sumifs(accountingImpact,assetLookUp,$A7,financialMonth,R$2,financialYear,R$1,transactionType,"Disposal")</f>
        <v>0</v>
      </c>
      <c r="U7" s="16">
        <f t="array" ref="U7">-sum(Q7:T7)*index(depnRateAcc,match($A7,assetLookUp,0),)</f>
        <v>-61440</v>
      </c>
      <c r="V7" s="16">
        <f t="shared" si="4"/>
        <v>245760</v>
      </c>
      <c r="W7" s="16">
        <f>sumifs(accountingImpact,assetLookUp,$A7,financialMonth,W$2,financialYear,W$1,transactionType,"Revaluation")</f>
        <v>0</v>
      </c>
      <c r="X7" s="16">
        <f>sumifs(accountingImpact,assetLookUp,$A7,financialMonth,W$2,financialYear,W$1,transactionType,"Acquisition")</f>
        <v>0</v>
      </c>
      <c r="Y7" s="16">
        <f>sumifs(accountingImpact,assetLookUp,$A7,financialMonth,W$2,financialYear,W$1,transactionType,"Disposal")</f>
        <v>0</v>
      </c>
      <c r="Z7" s="16">
        <f t="array" ref="Z7">-sum(V7:Y7)*index(depnRateAcc,match($A7,assetLookUp,0),)</f>
        <v>-49152</v>
      </c>
      <c r="AA7" s="16">
        <f t="shared" si="5"/>
        <v>196608</v>
      </c>
      <c r="AB7" s="16">
        <f>sumifs(accountingImpact,assetLookUp,$A7,financialMonth,AB$2,financialYear,AB$1,transactionType,"Revaluation")</f>
        <v>0</v>
      </c>
      <c r="AC7" s="16">
        <f>sumifs(accountingImpact,assetLookUp,$A7,financialMonth,AB$2,financialYear,AB$1,transactionType,"Acquisition")</f>
        <v>0</v>
      </c>
      <c r="AD7" s="16">
        <f>sumifs(accountingImpact,assetLookUp,$A7,financialMonth,AB$2,financialYear,AB$1,transactionType,"Disposal")</f>
        <v>0</v>
      </c>
      <c r="AE7" s="16">
        <f t="array" ref="AE7">-sum(AA7:AD7)*index(depnRateAcc,match($A7,assetLookUp,0),)</f>
        <v>-39321.6</v>
      </c>
      <c r="AF7" s="16">
        <f t="shared" si="6"/>
        <v>157286.4</v>
      </c>
      <c r="AG7" s="16">
        <f>sumifs(accountingImpact,assetLookUp,$A7,financialMonth,AG$2,financialYear,AG$1,transactionType,"Revaluation")</f>
        <v>0</v>
      </c>
      <c r="AH7" s="16">
        <f>sumifs(accountingImpact,assetLookUp,$A7,financialMonth,AG$2,financialYear,AG$1,transactionType,"Acquisition")</f>
        <v>0</v>
      </c>
      <c r="AI7" s="16">
        <f>sumifs(accountingImpact,assetLookUp,$A7,financialMonth,AG$2,financialYear,AG$1,transactionType,"Disposal")</f>
        <v>0</v>
      </c>
      <c r="AJ7" s="16">
        <f t="array" ref="AJ7">-sum(AF7:AI7)*index(depnRateAcc,match($A7,assetLookUp,0),)</f>
        <v>-31457.28</v>
      </c>
      <c r="AK7" s="16">
        <f t="shared" si="7"/>
        <v>125829.12</v>
      </c>
      <c r="AL7" s="16">
        <f>sumifs(accountingImpact,assetLookUp,$A7,financialMonth,AL$2,financialYear,AL$1,transactionType,"Revaluation")</f>
        <v>0</v>
      </c>
      <c r="AM7" s="16">
        <f>sumifs(accountingImpact,assetLookUp,$A7,financialMonth,AL$2,financialYear,AL$1,transactionType,"Acquisition")</f>
        <v>0</v>
      </c>
      <c r="AN7" s="16">
        <f>sumifs(accountingImpact,assetLookUp,$A7,financialMonth,AL$2,financialYear,AL$1,transactionType,"Disposal")</f>
        <v>0</v>
      </c>
      <c r="AO7" s="16">
        <f t="array" ref="AO7">-sum(AK7:AN7)*index(depnRateAcc,match($A7,assetLookUp,0),)</f>
        <v>-25165.824</v>
      </c>
      <c r="AP7" s="16">
        <f t="shared" si="8"/>
        <v>100663.296</v>
      </c>
      <c r="AQ7" s="16">
        <f>sumifs(accountingImpact,assetLookUp,$A7,financialMonth,AQ$2,financialYear,AQ$1,transactionType,"Revaluation")</f>
        <v>0</v>
      </c>
      <c r="AR7" s="16">
        <f>sumifs(accountingImpact,assetLookUp,$A7,financialMonth,AQ$2,financialYear,AQ$1,transactionType,"Acquisition")</f>
        <v>0</v>
      </c>
      <c r="AS7" s="16">
        <f>sumifs(accountingImpact,assetLookUp,$A7,financialMonth,AQ$2,financialYear,AQ$1,transactionType,"Disposal")</f>
        <v>0</v>
      </c>
      <c r="AT7" s="16">
        <f t="array" ref="AT7">-sum(AP7:AS7)*index(depnRateAcc,match($A7,assetLookUp,0),)</f>
        <v>-20132.6592</v>
      </c>
      <c r="AU7" s="16">
        <f t="shared" si="9"/>
        <v>80530.6368</v>
      </c>
      <c r="AV7" s="16">
        <f>sumifs(accountingImpact,assetLookUp,$A7,financialMonth,AV$2,financialYear,AV$1,transactionType,"Revaluation")</f>
        <v>0</v>
      </c>
      <c r="AW7" s="16">
        <f>sumifs(accountingImpact,assetLookUp,$A7,financialMonth,AV$2,financialYear,AV$1,transactionType,"Acquisition")</f>
        <v>0</v>
      </c>
      <c r="AX7" s="16">
        <f>sumifs(accountingImpact,assetLookUp,$A7,financialMonth,AV$2,financialYear,AV$1,transactionType,"Disposal")</f>
        <v>0</v>
      </c>
      <c r="AY7" s="16">
        <f t="array" ref="AY7">-sum(AU7:AX7)*index(depnRateAcc,match($A7,assetLookUp,0),)</f>
        <v>-16106.12736</v>
      </c>
      <c r="AZ7" s="16">
        <f t="shared" si="10"/>
        <v>64424.50944</v>
      </c>
      <c r="BA7" s="16">
        <f>sumifs(accountingImpact,assetLookUp,$A7,financialMonth,BA$2,financialYear,BA$1,transactionType,"Revaluation")</f>
        <v>0</v>
      </c>
      <c r="BB7" s="16">
        <f>sumifs(accountingImpact,assetLookUp,$A7,financialMonth,BA$2,financialYear,BA$1,transactionType,"Acquisition")</f>
        <v>0</v>
      </c>
      <c r="BC7" s="16">
        <f>sumifs(accountingImpact,assetLookUp,$A7,financialMonth,BA$2,financialYear,BA$1,transactionType,"Disposal")</f>
        <v>0</v>
      </c>
      <c r="BD7" s="16">
        <f t="array" ref="BD7">-sum(AZ7:BC7)*index(depnRateAcc,match($A7,assetLookUp,0),)</f>
        <v>-12884.90189</v>
      </c>
      <c r="BE7" s="16">
        <f t="shared" si="11"/>
        <v>51539.60755</v>
      </c>
      <c r="BF7" s="16">
        <f>sumifs(accountingImpact,assetLookUp,$A7,financialMonth,BF$2,financialYear,BF$1,transactionType,"Revaluation")</f>
        <v>0</v>
      </c>
      <c r="BG7" s="16">
        <f>sumifs(accountingImpact,assetLookUp,$A7,financialMonth,BF$2,financialYear,BF$1,transactionType,"Acquisition")</f>
        <v>0</v>
      </c>
      <c r="BH7" s="16">
        <f>sumifs(accountingImpact,assetLookUp,$A7,financialMonth,BF$2,financialYear,BF$1,transactionType,"Disposal")</f>
        <v>0</v>
      </c>
      <c r="BI7" s="16">
        <f t="array" ref="BI7">-sum(BE7:BH7)*index(depnRateAcc,match($A7,assetLookUp,0),)</f>
        <v>-10307.92151</v>
      </c>
      <c r="BJ7" s="4" t="str">
        <f t="array" ref="BJ7">index(assetClass,match($A7,assetLookUp,0))</f>
        <v>Building fitout</v>
      </c>
      <c r="BK7" s="16">
        <f t="shared" si="12"/>
        <v>0</v>
      </c>
      <c r="BL7" s="16">
        <f t="shared" si="13"/>
        <v>0</v>
      </c>
      <c r="BM7" s="16">
        <f t="shared" si="14"/>
        <v>600000</v>
      </c>
      <c r="BN7" s="16">
        <f t="shared" si="15"/>
        <v>0</v>
      </c>
      <c r="BO7" s="16">
        <f t="shared" si="16"/>
        <v>-558768.314</v>
      </c>
      <c r="BP7" s="16">
        <f t="shared" si="17"/>
        <v>41231.68604</v>
      </c>
    </row>
    <row r="8">
      <c r="A8" s="2" t="s">
        <v>27</v>
      </c>
      <c r="B8" s="15">
        <v>0.0</v>
      </c>
      <c r="C8" s="16">
        <f>sumifs(accountingImpact,assetLookUp,$A8,financialMonth,C$2,financialYear,C$1,transactionType,"Revaluation")</f>
        <v>0</v>
      </c>
      <c r="D8" s="16">
        <f>sumifs(accountingImpact,assetLookUp,$A8,financialMonth,C$2,financialYear,C$1,transactionType,"Acquisition")</f>
        <v>0</v>
      </c>
      <c r="E8" s="16">
        <f>sumifs(accountingImpact,assetLookUp,$A8,financialMonth,C$2,financialYear,C$1,transactionType,"Disposal")</f>
        <v>0</v>
      </c>
      <c r="F8" s="16">
        <f t="array" ref="F8">-sum(B8:E8)*index(depnRateAcc,match($A8,assetLookUp,0),)</f>
        <v>0</v>
      </c>
      <c r="G8" s="16">
        <f t="shared" si="1"/>
        <v>0</v>
      </c>
      <c r="H8" s="16">
        <f>sumifs(accountingImpact,assetLookUp,$A8,financialMonth,H$2,financialYear,H$1,transactionType,"Revaluation")</f>
        <v>0</v>
      </c>
      <c r="I8" s="16">
        <f>sumifs(accountingImpact,assetLookUp,$A8,financialMonth,H$2,financialYear,H$1,transactionType,"Acquisition")</f>
        <v>0</v>
      </c>
      <c r="J8" s="16">
        <f>sumifs(accountingImpact,assetLookUp,$A8,financialMonth,H$2,financialYear,H$1,transactionType,"Disposal")</f>
        <v>0</v>
      </c>
      <c r="K8" s="16">
        <f t="array" ref="K8">-sum(G8:J8)*index(depnRateAcc,match($A8,assetLookUp,0),)</f>
        <v>0</v>
      </c>
      <c r="L8" s="16">
        <f t="shared" si="2"/>
        <v>0</v>
      </c>
      <c r="M8" s="16">
        <f>sumifs(accountingImpact,assetLookUp,$A8,financialMonth,M$2,financialYear,M$1,transactionType,"Revaluation")</f>
        <v>0</v>
      </c>
      <c r="N8" s="16">
        <f>sumifs(accountingImpact,assetLookUp,$A8,financialMonth,M$2,financialYear,M$1,transactionType,"Acquisition")</f>
        <v>2500</v>
      </c>
      <c r="O8" s="16">
        <f>sumifs(accountingImpact,assetLookUp,$A8,financialMonth,M$2,financialYear,M$1,transactionType,"Disposal")</f>
        <v>0</v>
      </c>
      <c r="P8" s="16">
        <f t="array" ref="P8">-sum(L8:O8)*index(depnRateAcc,match($A8,assetLookUp,0),)</f>
        <v>-750</v>
      </c>
      <c r="Q8" s="16">
        <f t="shared" si="3"/>
        <v>1750</v>
      </c>
      <c r="R8" s="16">
        <f>sumifs(accountingImpact,assetLookUp,$A8,financialMonth,R$2,financialYear,R$1,transactionType,"Revaluation")</f>
        <v>0</v>
      </c>
      <c r="S8" s="16">
        <f>sumifs(accountingImpact,assetLookUp,$A8,financialMonth,R$2,financialYear,R$1,transactionType,"Acquisition")</f>
        <v>0</v>
      </c>
      <c r="T8" s="16">
        <f>sumifs(accountingImpact,assetLookUp,$A8,financialMonth,R$2,financialYear,R$1,transactionType,"Disposal")</f>
        <v>0</v>
      </c>
      <c r="U8" s="16">
        <f t="array" ref="U8">-sum(Q8:T8)*index(depnRateAcc,match($A8,assetLookUp,0),)</f>
        <v>-525</v>
      </c>
      <c r="V8" s="16">
        <f t="shared" si="4"/>
        <v>1225</v>
      </c>
      <c r="W8" s="16">
        <f>sumifs(accountingImpact,assetLookUp,$A8,financialMonth,W$2,financialYear,W$1,transactionType,"Revaluation")</f>
        <v>0</v>
      </c>
      <c r="X8" s="16">
        <f>sumifs(accountingImpact,assetLookUp,$A8,financialMonth,W$2,financialYear,W$1,transactionType,"Acquisition")</f>
        <v>0</v>
      </c>
      <c r="Y8" s="16">
        <f>sumifs(accountingImpact,assetLookUp,$A8,financialMonth,W$2,financialYear,W$1,transactionType,"Disposal")</f>
        <v>0</v>
      </c>
      <c r="Z8" s="16">
        <f t="array" ref="Z8">-sum(V8:Y8)*index(depnRateAcc,match($A8,assetLookUp,0),)</f>
        <v>-367.5</v>
      </c>
      <c r="AA8" s="16">
        <f t="shared" si="5"/>
        <v>857.5</v>
      </c>
      <c r="AB8" s="16">
        <f>sumifs(accountingImpact,assetLookUp,$A8,financialMonth,AB$2,financialYear,AB$1,transactionType,"Revaluation")</f>
        <v>0</v>
      </c>
      <c r="AC8" s="16">
        <f>sumifs(accountingImpact,assetLookUp,$A8,financialMonth,AB$2,financialYear,AB$1,transactionType,"Acquisition")</f>
        <v>0</v>
      </c>
      <c r="AD8" s="16">
        <f>sumifs(accountingImpact,assetLookUp,$A8,financialMonth,AB$2,financialYear,AB$1,transactionType,"Disposal")</f>
        <v>0</v>
      </c>
      <c r="AE8" s="16">
        <f t="array" ref="AE8">-sum(AA8:AD8)*index(depnRateAcc,match($A8,assetLookUp,0),)</f>
        <v>-257.25</v>
      </c>
      <c r="AF8" s="16">
        <f t="shared" si="6"/>
        <v>600.25</v>
      </c>
      <c r="AG8" s="16">
        <f>sumifs(accountingImpact,assetLookUp,$A8,financialMonth,AG$2,financialYear,AG$1,transactionType,"Revaluation")</f>
        <v>0</v>
      </c>
      <c r="AH8" s="16">
        <f>sumifs(accountingImpact,assetLookUp,$A8,financialMonth,AG$2,financialYear,AG$1,transactionType,"Acquisition")</f>
        <v>0</v>
      </c>
      <c r="AI8" s="16">
        <f>sumifs(accountingImpact,assetLookUp,$A8,financialMonth,AG$2,financialYear,AG$1,transactionType,"Disposal")</f>
        <v>0</v>
      </c>
      <c r="AJ8" s="16">
        <f t="array" ref="AJ8">-sum(AF8:AI8)*index(depnRateAcc,match($A8,assetLookUp,0),)</f>
        <v>-180.075</v>
      </c>
      <c r="AK8" s="16">
        <f t="shared" si="7"/>
        <v>420.175</v>
      </c>
      <c r="AL8" s="16">
        <f>sumifs(accountingImpact,assetLookUp,$A8,financialMonth,AL$2,financialYear,AL$1,transactionType,"Revaluation")</f>
        <v>0</v>
      </c>
      <c r="AM8" s="16">
        <f>sumifs(accountingImpact,assetLookUp,$A8,financialMonth,AL$2,financialYear,AL$1,transactionType,"Acquisition")</f>
        <v>0</v>
      </c>
      <c r="AN8" s="16">
        <f>sumifs(accountingImpact,assetLookUp,$A8,financialMonth,AL$2,financialYear,AL$1,transactionType,"Disposal")</f>
        <v>0</v>
      </c>
      <c r="AO8" s="16">
        <f t="array" ref="AO8">-sum(AK8:AN8)*index(depnRateAcc,match($A8,assetLookUp,0),)</f>
        <v>-126.0525</v>
      </c>
      <c r="AP8" s="16">
        <f t="shared" si="8"/>
        <v>294.1225</v>
      </c>
      <c r="AQ8" s="16">
        <f>sumifs(accountingImpact,assetLookUp,$A8,financialMonth,AQ$2,financialYear,AQ$1,transactionType,"Revaluation")</f>
        <v>0</v>
      </c>
      <c r="AR8" s="16">
        <f>sumifs(accountingImpact,assetLookUp,$A8,financialMonth,AQ$2,financialYear,AQ$1,transactionType,"Acquisition")</f>
        <v>0</v>
      </c>
      <c r="AS8" s="16">
        <f>sumifs(accountingImpact,assetLookUp,$A8,financialMonth,AQ$2,financialYear,AQ$1,transactionType,"Disposal")</f>
        <v>0</v>
      </c>
      <c r="AT8" s="16">
        <f t="array" ref="AT8">-sum(AP8:AS8)*index(depnRateAcc,match($A8,assetLookUp,0),)</f>
        <v>-88.23675</v>
      </c>
      <c r="AU8" s="16">
        <f t="shared" si="9"/>
        <v>205.88575</v>
      </c>
      <c r="AV8" s="16">
        <f>sumifs(accountingImpact,assetLookUp,$A8,financialMonth,AV$2,financialYear,AV$1,transactionType,"Revaluation")</f>
        <v>0</v>
      </c>
      <c r="AW8" s="16">
        <f>sumifs(accountingImpact,assetLookUp,$A8,financialMonth,AV$2,financialYear,AV$1,transactionType,"Acquisition")</f>
        <v>0</v>
      </c>
      <c r="AX8" s="16">
        <f>sumifs(accountingImpact,assetLookUp,$A8,financialMonth,AV$2,financialYear,AV$1,transactionType,"Disposal")</f>
        <v>0</v>
      </c>
      <c r="AY8" s="16">
        <f t="array" ref="AY8">-sum(AU8:AX8)*index(depnRateAcc,match($A8,assetLookUp,0),)</f>
        <v>-61.765725</v>
      </c>
      <c r="AZ8" s="16">
        <f t="shared" si="10"/>
        <v>144.120025</v>
      </c>
      <c r="BA8" s="16">
        <f>sumifs(accountingImpact,assetLookUp,$A8,financialMonth,BA$2,financialYear,BA$1,transactionType,"Revaluation")</f>
        <v>0</v>
      </c>
      <c r="BB8" s="16">
        <f>sumifs(accountingImpact,assetLookUp,$A8,financialMonth,BA$2,financialYear,BA$1,transactionType,"Acquisition")</f>
        <v>0</v>
      </c>
      <c r="BC8" s="16">
        <f>sumifs(accountingImpact,assetLookUp,$A8,financialMonth,BA$2,financialYear,BA$1,transactionType,"Disposal")</f>
        <v>0</v>
      </c>
      <c r="BD8" s="16">
        <f t="array" ref="BD8">-sum(AZ8:BC8)*index(depnRateAcc,match($A8,assetLookUp,0),)</f>
        <v>-43.2360075</v>
      </c>
      <c r="BE8" s="16">
        <f t="shared" si="11"/>
        <v>100.8840175</v>
      </c>
      <c r="BF8" s="16">
        <f>sumifs(accountingImpact,assetLookUp,$A8,financialMonth,BF$2,financialYear,BF$1,transactionType,"Revaluation")</f>
        <v>0</v>
      </c>
      <c r="BG8" s="16">
        <f>sumifs(accountingImpact,assetLookUp,$A8,financialMonth,BF$2,financialYear,BF$1,transactionType,"Acquisition")</f>
        <v>0</v>
      </c>
      <c r="BH8" s="16">
        <f>sumifs(accountingImpact,assetLookUp,$A8,financialMonth,BF$2,financialYear,BF$1,transactionType,"Disposal")</f>
        <v>0</v>
      </c>
      <c r="BI8" s="16">
        <f t="array" ref="BI8">-sum(BE8:BH8)*index(depnRateAcc,match($A8,assetLookUp,0),)</f>
        <v>-30.26520525</v>
      </c>
      <c r="BJ8" s="4" t="str">
        <f t="array" ref="BJ8">index(assetClass,match($A8,assetLookUp,0))</f>
        <v>Vehicles</v>
      </c>
      <c r="BK8" s="16">
        <f t="shared" si="12"/>
        <v>0</v>
      </c>
      <c r="BL8" s="16">
        <f t="shared" si="13"/>
        <v>0</v>
      </c>
      <c r="BM8" s="16">
        <f t="shared" si="14"/>
        <v>2500</v>
      </c>
      <c r="BN8" s="16">
        <f t="shared" si="15"/>
        <v>0</v>
      </c>
      <c r="BO8" s="16">
        <f t="shared" si="16"/>
        <v>-2429.381188</v>
      </c>
      <c r="BP8" s="16">
        <f t="shared" si="17"/>
        <v>70.61881225</v>
      </c>
    </row>
    <row r="9">
      <c r="A9" s="2" t="s">
        <v>30</v>
      </c>
      <c r="B9" s="15">
        <v>0.0</v>
      </c>
      <c r="C9" s="16">
        <f>sumifs(accountingImpact,assetLookUp,$A9,financialMonth,C$2,financialYear,C$1,transactionType,"Revaluation")</f>
        <v>0</v>
      </c>
      <c r="D9" s="16">
        <f>sumifs(accountingImpact,assetLookUp,$A9,financialMonth,C$2,financialYear,C$1,transactionType,"Acquisition")</f>
        <v>0</v>
      </c>
      <c r="E9" s="16">
        <f>sumifs(accountingImpact,assetLookUp,$A9,financialMonth,C$2,financialYear,C$1,transactionType,"Disposal")</f>
        <v>0</v>
      </c>
      <c r="F9" s="16">
        <f t="array" ref="F9">-sum(B9:E9)*index(depnRateAcc,match($A9,assetLookUp,0),)</f>
        <v>0</v>
      </c>
      <c r="G9" s="16">
        <f t="shared" si="1"/>
        <v>0</v>
      </c>
      <c r="H9" s="16">
        <f>sumifs(accountingImpact,assetLookUp,$A9,financialMonth,H$2,financialYear,H$1,transactionType,"Revaluation")</f>
        <v>0</v>
      </c>
      <c r="I9" s="16">
        <f>sumifs(accountingImpact,assetLookUp,$A9,financialMonth,H$2,financialYear,H$1,transactionType,"Acquisition")</f>
        <v>0</v>
      </c>
      <c r="J9" s="16">
        <f>sumifs(accountingImpact,assetLookUp,$A9,financialMonth,H$2,financialYear,H$1,transactionType,"Disposal")</f>
        <v>0</v>
      </c>
      <c r="K9" s="16">
        <f t="array" ref="K9">-sum(G9:J9)*index(depnRateAcc,match($A9,assetLookUp,0),)</f>
        <v>0</v>
      </c>
      <c r="L9" s="16">
        <f t="shared" si="2"/>
        <v>0</v>
      </c>
      <c r="M9" s="16">
        <f>sumifs(accountingImpact,assetLookUp,$A9,financialMonth,M$2,financialYear,M$1,transactionType,"Revaluation")</f>
        <v>0</v>
      </c>
      <c r="N9" s="16">
        <f>sumifs(accountingImpact,assetLookUp,$A9,financialMonth,M$2,financialYear,M$1,transactionType,"Acquisition")</f>
        <v>0</v>
      </c>
      <c r="O9" s="16">
        <f>sumifs(accountingImpact,assetLookUp,$A9,financialMonth,M$2,financialYear,M$1,transactionType,"Disposal")</f>
        <v>0</v>
      </c>
      <c r="P9" s="16">
        <f t="array" ref="P9">-sum(L9:O9)*index(depnRateAcc,match($A9,assetLookUp,0),)</f>
        <v>0</v>
      </c>
      <c r="Q9" s="16">
        <f t="shared" si="3"/>
        <v>0</v>
      </c>
      <c r="R9" s="16">
        <f>sumifs(accountingImpact,assetLookUp,$A9,financialMonth,R$2,financialYear,R$1,transactionType,"Revaluation")</f>
        <v>0</v>
      </c>
      <c r="S9" s="16">
        <f>sumifs(accountingImpact,assetLookUp,$A9,financialMonth,R$2,financialYear,R$1,transactionType,"Acquisition")</f>
        <v>0</v>
      </c>
      <c r="T9" s="16">
        <f>sumifs(accountingImpact,assetLookUp,$A9,financialMonth,R$2,financialYear,R$1,transactionType,"Disposal")</f>
        <v>0</v>
      </c>
      <c r="U9" s="16">
        <f t="array" ref="U9">-sum(Q9:T9)*index(depnRateAcc,match($A9,assetLookUp,0),)</f>
        <v>0</v>
      </c>
      <c r="V9" s="16">
        <f t="shared" si="4"/>
        <v>0</v>
      </c>
      <c r="W9" s="16">
        <f>sumifs(accountingImpact,assetLookUp,$A9,financialMonth,W$2,financialYear,W$1,transactionType,"Revaluation")</f>
        <v>0</v>
      </c>
      <c r="X9" s="16">
        <f>sumifs(accountingImpact,assetLookUp,$A9,financialMonth,W$2,financialYear,W$1,transactionType,"Acquisition")</f>
        <v>0</v>
      </c>
      <c r="Y9" s="16">
        <f>sumifs(accountingImpact,assetLookUp,$A9,financialMonth,W$2,financialYear,W$1,transactionType,"Disposal")</f>
        <v>0</v>
      </c>
      <c r="Z9" s="16">
        <f t="array" ref="Z9">-sum(V9:Y9)*index(depnRateAcc,match($A9,assetLookUp,0),)</f>
        <v>0</v>
      </c>
      <c r="AA9" s="16">
        <f t="shared" si="5"/>
        <v>0</v>
      </c>
      <c r="AB9" s="16">
        <f>sumifs(accountingImpact,assetLookUp,$A9,financialMonth,AB$2,financialYear,AB$1,transactionType,"Revaluation")</f>
        <v>0</v>
      </c>
      <c r="AC9" s="16">
        <f>sumifs(accountingImpact,assetLookUp,$A9,financialMonth,AB$2,financialYear,AB$1,transactionType,"Acquisition")</f>
        <v>0</v>
      </c>
      <c r="AD9" s="16">
        <f>sumifs(accountingImpact,assetLookUp,$A9,financialMonth,AB$2,financialYear,AB$1,transactionType,"Disposal")</f>
        <v>0</v>
      </c>
      <c r="AE9" s="16">
        <f t="array" ref="AE9">-sum(AA9:AD9)*index(depnRateAcc,match($A9,assetLookUp,0),)</f>
        <v>0</v>
      </c>
      <c r="AF9" s="16">
        <f t="shared" si="6"/>
        <v>0</v>
      </c>
      <c r="AG9" s="16">
        <f>sumifs(accountingImpact,assetLookUp,$A9,financialMonth,AG$2,financialYear,AG$1,transactionType,"Revaluation")</f>
        <v>0</v>
      </c>
      <c r="AH9" s="16">
        <f>sumifs(accountingImpact,assetLookUp,$A9,financialMonth,AG$2,financialYear,AG$1,transactionType,"Acquisition")</f>
        <v>0</v>
      </c>
      <c r="AI9" s="16">
        <f>sumifs(accountingImpact,assetLookUp,$A9,financialMonth,AG$2,financialYear,AG$1,transactionType,"Disposal")</f>
        <v>0</v>
      </c>
      <c r="AJ9" s="16">
        <f t="array" ref="AJ9">-sum(AF9:AI9)*index(depnRateAcc,match($A9,assetLookUp,0),)</f>
        <v>0</v>
      </c>
      <c r="AK9" s="16">
        <f t="shared" si="7"/>
        <v>0</v>
      </c>
      <c r="AL9" s="16">
        <f>sumifs(accountingImpact,assetLookUp,$A9,financialMonth,AL$2,financialYear,AL$1,transactionType,"Revaluation")</f>
        <v>0</v>
      </c>
      <c r="AM9" s="16">
        <f>sumifs(accountingImpact,assetLookUp,$A9,financialMonth,AL$2,financialYear,AL$1,transactionType,"Acquisition")</f>
        <v>0</v>
      </c>
      <c r="AN9" s="16">
        <f>sumifs(accountingImpact,assetLookUp,$A9,financialMonth,AL$2,financialYear,AL$1,transactionType,"Disposal")</f>
        <v>0</v>
      </c>
      <c r="AO9" s="16">
        <f t="array" ref="AO9">-sum(AK9:AN9)*index(depnRateAcc,match($A9,assetLookUp,0),)</f>
        <v>0</v>
      </c>
      <c r="AP9" s="16">
        <f t="shared" si="8"/>
        <v>0</v>
      </c>
      <c r="AQ9" s="16">
        <f>sumifs(accountingImpact,assetLookUp,$A9,financialMonth,AQ$2,financialYear,AQ$1,transactionType,"Revaluation")</f>
        <v>0</v>
      </c>
      <c r="AR9" s="16">
        <f>sumifs(accountingImpact,assetLookUp,$A9,financialMonth,AQ$2,financialYear,AQ$1,transactionType,"Acquisition")</f>
        <v>0</v>
      </c>
      <c r="AS9" s="16">
        <f>sumifs(accountingImpact,assetLookUp,$A9,financialMonth,AQ$2,financialYear,AQ$1,transactionType,"Disposal")</f>
        <v>0</v>
      </c>
      <c r="AT9" s="16">
        <f t="array" ref="AT9">-sum(AP9:AS9)*index(depnRateAcc,match($A9,assetLookUp,0),)</f>
        <v>0</v>
      </c>
      <c r="AU9" s="16">
        <f t="shared" si="9"/>
        <v>0</v>
      </c>
      <c r="AV9" s="16">
        <f>sumifs(accountingImpact,assetLookUp,$A9,financialMonth,AV$2,financialYear,AV$1,transactionType,"Revaluation")</f>
        <v>0</v>
      </c>
      <c r="AW9" s="16">
        <f>sumifs(accountingImpact,assetLookUp,$A9,financialMonth,AV$2,financialYear,AV$1,transactionType,"Acquisition")</f>
        <v>0</v>
      </c>
      <c r="AX9" s="16">
        <f>sumifs(accountingImpact,assetLookUp,$A9,financialMonth,AV$2,financialYear,AV$1,transactionType,"Disposal")</f>
        <v>0</v>
      </c>
      <c r="AY9" s="16">
        <f t="array" ref="AY9">-sum(AU9:AX9)*index(depnRateAcc,match($A9,assetLookUp,0),)</f>
        <v>0</v>
      </c>
      <c r="AZ9" s="16">
        <f t="shared" si="10"/>
        <v>0</v>
      </c>
      <c r="BA9" s="16">
        <f>sumifs(accountingImpact,assetLookUp,$A9,financialMonth,BA$2,financialYear,BA$1,transactionType,"Revaluation")</f>
        <v>0</v>
      </c>
      <c r="BB9" s="16">
        <f>sumifs(accountingImpact,assetLookUp,$A9,financialMonth,BA$2,financialYear,BA$1,transactionType,"Acquisition")</f>
        <v>0</v>
      </c>
      <c r="BC9" s="16">
        <f>sumifs(accountingImpact,assetLookUp,$A9,financialMonth,BA$2,financialYear,BA$1,transactionType,"Disposal")</f>
        <v>0</v>
      </c>
      <c r="BD9" s="16">
        <f t="array" ref="BD9">-sum(AZ9:BC9)*index(depnRateAcc,match($A9,assetLookUp,0),)</f>
        <v>0</v>
      </c>
      <c r="BE9" s="16">
        <f t="shared" si="11"/>
        <v>0</v>
      </c>
      <c r="BF9" s="16">
        <f>sumifs(accountingImpact,assetLookUp,$A9,financialMonth,BF$2,financialYear,BF$1,transactionType,"Revaluation")</f>
        <v>0</v>
      </c>
      <c r="BG9" s="16">
        <f>sumifs(accountingImpact,assetLookUp,$A9,financialMonth,BF$2,financialYear,BF$1,transactionType,"Acquisition")</f>
        <v>0</v>
      </c>
      <c r="BH9" s="16">
        <f>sumifs(accountingImpact,assetLookUp,$A9,financialMonth,BF$2,financialYear,BF$1,transactionType,"Disposal")</f>
        <v>0</v>
      </c>
      <c r="BI9" s="16">
        <f t="array" ref="BI9">-sum(BE9:BH9)*index(depnRateAcc,match($A9,assetLookUp,0),)</f>
        <v>0</v>
      </c>
      <c r="BJ9" s="4" t="str">
        <f t="array" ref="BJ9">index(assetClass,match($A9,assetLookUp,0))</f>
        <v>Computer software</v>
      </c>
      <c r="BK9" s="16">
        <f t="shared" si="12"/>
        <v>0</v>
      </c>
      <c r="BL9" s="16">
        <f t="shared" si="13"/>
        <v>0</v>
      </c>
      <c r="BM9" s="16">
        <f t="shared" si="14"/>
        <v>0</v>
      </c>
      <c r="BN9" s="16">
        <f t="shared" si="15"/>
        <v>0</v>
      </c>
      <c r="BO9" s="16">
        <f t="shared" si="16"/>
        <v>0</v>
      </c>
      <c r="BP9" s="16">
        <f t="shared" si="17"/>
        <v>0</v>
      </c>
    </row>
    <row r="10">
      <c r="A10" s="2" t="s">
        <v>33</v>
      </c>
      <c r="B10" s="15">
        <v>0.0</v>
      </c>
      <c r="C10" s="16">
        <f>sumifs(accountingImpact,assetLookUp,$A10,financialMonth,C$2,financialYear,C$1,transactionType,"Revaluation")</f>
        <v>0</v>
      </c>
      <c r="D10" s="16">
        <f>sumifs(accountingImpact,assetLookUp,$A10,financialMonth,C$2,financialYear,C$1,transactionType,"Acquisition")</f>
        <v>0</v>
      </c>
      <c r="E10" s="16">
        <f>sumifs(accountingImpact,assetLookUp,$A10,financialMonth,C$2,financialYear,C$1,transactionType,"Disposal")</f>
        <v>0</v>
      </c>
      <c r="F10" s="16">
        <f t="array" ref="F10">-sum(B10:E10)*index(depnRateAcc,match($A10,assetLookUp,0),)</f>
        <v>0</v>
      </c>
      <c r="G10" s="16">
        <f t="shared" si="1"/>
        <v>0</v>
      </c>
      <c r="H10" s="16">
        <f>sumifs(accountingImpact,assetLookUp,$A10,financialMonth,H$2,financialYear,H$1,transactionType,"Revaluation")</f>
        <v>0</v>
      </c>
      <c r="I10" s="16">
        <f>sumifs(accountingImpact,assetLookUp,$A10,financialMonth,H$2,financialYear,H$1,transactionType,"Acquisition")</f>
        <v>0</v>
      </c>
      <c r="J10" s="16">
        <f>sumifs(accountingImpact,assetLookUp,$A10,financialMonth,H$2,financialYear,H$1,transactionType,"Disposal")</f>
        <v>0</v>
      </c>
      <c r="K10" s="16">
        <f t="array" ref="K10">-sum(G10:J10)*index(depnRateAcc,match($A10,assetLookUp,0),)</f>
        <v>0</v>
      </c>
      <c r="L10" s="16">
        <f t="shared" si="2"/>
        <v>0</v>
      </c>
      <c r="M10" s="16">
        <f>sumifs(accountingImpact,assetLookUp,$A10,financialMonth,M$2,financialYear,M$1,transactionType,"Revaluation")</f>
        <v>0</v>
      </c>
      <c r="N10" s="16">
        <f>sumifs(accountingImpact,assetLookUp,$A10,financialMonth,M$2,financialYear,M$1,transactionType,"Acquisition")</f>
        <v>0</v>
      </c>
      <c r="O10" s="16">
        <f>sumifs(accountingImpact,assetLookUp,$A10,financialMonth,M$2,financialYear,M$1,transactionType,"Disposal")</f>
        <v>0</v>
      </c>
      <c r="P10" s="16">
        <f t="array" ref="P10">-sum(L10:O10)*index(depnRateAcc,match($A10,assetLookUp,0),)</f>
        <v>0</v>
      </c>
      <c r="Q10" s="16">
        <f t="shared" si="3"/>
        <v>0</v>
      </c>
      <c r="R10" s="16">
        <f>sumifs(accountingImpact,assetLookUp,$A10,financialMonth,R$2,financialYear,R$1,transactionType,"Revaluation")</f>
        <v>0</v>
      </c>
      <c r="S10" s="16">
        <f>sumifs(accountingImpact,assetLookUp,$A10,financialMonth,R$2,financialYear,R$1,transactionType,"Acquisition")</f>
        <v>0</v>
      </c>
      <c r="T10" s="16">
        <f>sumifs(accountingImpact,assetLookUp,$A10,financialMonth,R$2,financialYear,R$1,transactionType,"Disposal")</f>
        <v>0</v>
      </c>
      <c r="U10" s="16">
        <f t="array" ref="U10">-sum(Q10:T10)*index(depnRateAcc,match($A10,assetLookUp,0),)</f>
        <v>0</v>
      </c>
      <c r="V10" s="16">
        <f t="shared" si="4"/>
        <v>0</v>
      </c>
      <c r="W10" s="16">
        <f>sumifs(accountingImpact,assetLookUp,$A10,financialMonth,W$2,financialYear,W$1,transactionType,"Revaluation")</f>
        <v>0</v>
      </c>
      <c r="X10" s="16">
        <f>sumifs(accountingImpact,assetLookUp,$A10,financialMonth,W$2,financialYear,W$1,transactionType,"Acquisition")</f>
        <v>0</v>
      </c>
      <c r="Y10" s="16">
        <f>sumifs(accountingImpact,assetLookUp,$A10,financialMonth,W$2,financialYear,W$1,transactionType,"Disposal")</f>
        <v>0</v>
      </c>
      <c r="Z10" s="16">
        <f t="array" ref="Z10">-sum(V10:Y10)*index(depnRateAcc,match($A10,assetLookUp,0),)</f>
        <v>0</v>
      </c>
      <c r="AA10" s="16">
        <f t="shared" si="5"/>
        <v>0</v>
      </c>
      <c r="AB10" s="16">
        <f>sumifs(accountingImpact,assetLookUp,$A10,financialMonth,AB$2,financialYear,AB$1,transactionType,"Revaluation")</f>
        <v>0</v>
      </c>
      <c r="AC10" s="16">
        <f>sumifs(accountingImpact,assetLookUp,$A10,financialMonth,AB$2,financialYear,AB$1,transactionType,"Acquisition")</f>
        <v>0</v>
      </c>
      <c r="AD10" s="16">
        <f>sumifs(accountingImpact,assetLookUp,$A10,financialMonth,AB$2,financialYear,AB$1,transactionType,"Disposal")</f>
        <v>0</v>
      </c>
      <c r="AE10" s="16">
        <f t="array" ref="AE10">-sum(AA10:AD10)*index(depnRateAcc,match($A10,assetLookUp,0),)</f>
        <v>0</v>
      </c>
      <c r="AF10" s="16">
        <f t="shared" si="6"/>
        <v>0</v>
      </c>
      <c r="AG10" s="16">
        <f>sumifs(accountingImpact,assetLookUp,$A10,financialMonth,AG$2,financialYear,AG$1,transactionType,"Revaluation")</f>
        <v>0</v>
      </c>
      <c r="AH10" s="16">
        <f>sumifs(accountingImpact,assetLookUp,$A10,financialMonth,AG$2,financialYear,AG$1,transactionType,"Acquisition")</f>
        <v>0</v>
      </c>
      <c r="AI10" s="16">
        <f>sumifs(accountingImpact,assetLookUp,$A10,financialMonth,AG$2,financialYear,AG$1,transactionType,"Disposal")</f>
        <v>0</v>
      </c>
      <c r="AJ10" s="16">
        <f t="array" ref="AJ10">-sum(AF10:AI10)*index(depnRateAcc,match($A10,assetLookUp,0),)</f>
        <v>0</v>
      </c>
      <c r="AK10" s="16">
        <f t="shared" si="7"/>
        <v>0</v>
      </c>
      <c r="AL10" s="16">
        <f>sumifs(accountingImpact,assetLookUp,$A10,financialMonth,AL$2,financialYear,AL$1,transactionType,"Revaluation")</f>
        <v>0</v>
      </c>
      <c r="AM10" s="16">
        <f>sumifs(accountingImpact,assetLookUp,$A10,financialMonth,AL$2,financialYear,AL$1,transactionType,"Acquisition")</f>
        <v>0</v>
      </c>
      <c r="AN10" s="16">
        <f>sumifs(accountingImpact,assetLookUp,$A10,financialMonth,AL$2,financialYear,AL$1,transactionType,"Disposal")</f>
        <v>0</v>
      </c>
      <c r="AO10" s="16">
        <f t="array" ref="AO10">-sum(AK10:AN10)*index(depnRateAcc,match($A10,assetLookUp,0),)</f>
        <v>0</v>
      </c>
      <c r="AP10" s="16">
        <f t="shared" si="8"/>
        <v>0</v>
      </c>
      <c r="AQ10" s="16">
        <f>sumifs(accountingImpact,assetLookUp,$A10,financialMonth,AQ$2,financialYear,AQ$1,transactionType,"Revaluation")</f>
        <v>0</v>
      </c>
      <c r="AR10" s="16">
        <f>sumifs(accountingImpact,assetLookUp,$A10,financialMonth,AQ$2,financialYear,AQ$1,transactionType,"Acquisition")</f>
        <v>0</v>
      </c>
      <c r="AS10" s="16">
        <f>sumifs(accountingImpact,assetLookUp,$A10,financialMonth,AQ$2,financialYear,AQ$1,transactionType,"Disposal")</f>
        <v>0</v>
      </c>
      <c r="AT10" s="16">
        <f t="array" ref="AT10">-sum(AP10:AS10)*index(depnRateAcc,match($A10,assetLookUp,0),)</f>
        <v>0</v>
      </c>
      <c r="AU10" s="16">
        <f t="shared" si="9"/>
        <v>0</v>
      </c>
      <c r="AV10" s="16">
        <f>sumifs(accountingImpact,assetLookUp,$A10,financialMonth,AV$2,financialYear,AV$1,transactionType,"Revaluation")</f>
        <v>0</v>
      </c>
      <c r="AW10" s="16">
        <f>sumifs(accountingImpact,assetLookUp,$A10,financialMonth,AV$2,financialYear,AV$1,transactionType,"Acquisition")</f>
        <v>800</v>
      </c>
      <c r="AX10" s="16">
        <f>sumifs(accountingImpact,assetLookUp,$A10,financialMonth,AV$2,financialYear,AV$1,transactionType,"Disposal")</f>
        <v>0</v>
      </c>
      <c r="AY10" s="16">
        <f t="array" ref="AY10">-sum(AU10:AX10)*index(depnRateAcc,match($A10,assetLookUp,0),)</f>
        <v>-400</v>
      </c>
      <c r="AZ10" s="16">
        <f t="shared" si="10"/>
        <v>400</v>
      </c>
      <c r="BA10" s="16">
        <f>sumifs(accountingImpact,assetLookUp,$A10,financialMonth,BA$2,financialYear,BA$1,transactionType,"Revaluation")</f>
        <v>0</v>
      </c>
      <c r="BB10" s="16">
        <f>sumifs(accountingImpact,assetLookUp,$A10,financialMonth,BA$2,financialYear,BA$1,transactionType,"Acquisition")</f>
        <v>0</v>
      </c>
      <c r="BC10" s="16">
        <f>sumifs(accountingImpact,assetLookUp,$A10,financialMonth,BA$2,financialYear,BA$1,transactionType,"Disposal")</f>
        <v>0</v>
      </c>
      <c r="BD10" s="16">
        <f t="array" ref="BD10">-sum(AZ10:BC10)*index(depnRateAcc,match($A10,assetLookUp,0),)</f>
        <v>-200</v>
      </c>
      <c r="BE10" s="16">
        <f t="shared" si="11"/>
        <v>200</v>
      </c>
      <c r="BF10" s="16">
        <f>sumifs(accountingImpact,assetLookUp,$A10,financialMonth,BF$2,financialYear,BF$1,transactionType,"Revaluation")</f>
        <v>0</v>
      </c>
      <c r="BG10" s="16">
        <f>sumifs(accountingImpact,assetLookUp,$A10,financialMonth,BF$2,financialYear,BF$1,transactionType,"Acquisition")</f>
        <v>0</v>
      </c>
      <c r="BH10" s="16">
        <f>sumifs(accountingImpact,assetLookUp,$A10,financialMonth,BF$2,financialYear,BF$1,transactionType,"Disposal")</f>
        <v>0</v>
      </c>
      <c r="BI10" s="16">
        <f t="array" ref="BI10">-sum(BE10:BH10)*index(depnRateAcc,match($A10,assetLookUp,0),)</f>
        <v>-100</v>
      </c>
      <c r="BJ10" s="4" t="str">
        <f t="array" ref="BJ10">index(assetClass,match($A10,assetLookUp,0))</f>
        <v>Plant and equipment</v>
      </c>
      <c r="BK10" s="16">
        <f t="shared" si="12"/>
        <v>0</v>
      </c>
      <c r="BL10" s="16">
        <f t="shared" si="13"/>
        <v>0</v>
      </c>
      <c r="BM10" s="16">
        <f t="shared" si="14"/>
        <v>800</v>
      </c>
      <c r="BN10" s="16">
        <f t="shared" si="15"/>
        <v>0</v>
      </c>
      <c r="BO10" s="16">
        <f t="shared" si="16"/>
        <v>-700</v>
      </c>
      <c r="BP10" s="16">
        <f t="shared" si="17"/>
        <v>100</v>
      </c>
    </row>
    <row r="13">
      <c r="A13" s="11" t="s">
        <v>46</v>
      </c>
      <c r="B13" s="12">
        <v>2024.0</v>
      </c>
      <c r="C13" s="12">
        <v>2024.0</v>
      </c>
      <c r="D13" s="12">
        <v>2024.0</v>
      </c>
      <c r="E13" s="12">
        <v>2024.0</v>
      </c>
      <c r="F13" s="12">
        <v>2024.0</v>
      </c>
      <c r="G13" s="12">
        <v>2024.0</v>
      </c>
      <c r="H13" s="12">
        <v>2024.0</v>
      </c>
      <c r="I13" s="12">
        <v>2024.0</v>
      </c>
      <c r="J13" s="12">
        <v>2024.0</v>
      </c>
      <c r="K13" s="12">
        <v>2024.0</v>
      </c>
      <c r="L13" s="12">
        <v>2024.0</v>
      </c>
      <c r="M13" s="12">
        <v>2024.0</v>
      </c>
      <c r="N13" s="12">
        <v>2024.0</v>
      </c>
      <c r="O13" s="12">
        <v>2024.0</v>
      </c>
      <c r="P13" s="12">
        <v>2024.0</v>
      </c>
      <c r="Q13" s="12">
        <v>2024.0</v>
      </c>
      <c r="R13" s="12">
        <v>2024.0</v>
      </c>
      <c r="S13" s="12">
        <v>2024.0</v>
      </c>
      <c r="T13" s="12">
        <v>2024.0</v>
      </c>
      <c r="U13" s="12">
        <v>2024.0</v>
      </c>
      <c r="V13" s="12">
        <v>2024.0</v>
      </c>
      <c r="W13" s="12">
        <v>2024.0</v>
      </c>
      <c r="X13" s="12">
        <v>2024.0</v>
      </c>
      <c r="Y13" s="12">
        <v>2024.0</v>
      </c>
      <c r="Z13" s="12">
        <v>2024.0</v>
      </c>
      <c r="AA13" s="12">
        <v>2024.0</v>
      </c>
      <c r="AB13" s="12">
        <v>2024.0</v>
      </c>
      <c r="AC13" s="12">
        <v>2024.0</v>
      </c>
      <c r="AD13" s="12">
        <v>2024.0</v>
      </c>
      <c r="AE13" s="12">
        <v>2024.0</v>
      </c>
      <c r="AF13" s="12">
        <v>2024.0</v>
      </c>
      <c r="AG13" s="12">
        <v>2024.0</v>
      </c>
      <c r="AH13" s="12">
        <v>2024.0</v>
      </c>
      <c r="AI13" s="12">
        <v>2024.0</v>
      </c>
      <c r="AJ13" s="12">
        <v>2024.0</v>
      </c>
      <c r="AK13" s="12">
        <v>2024.0</v>
      </c>
      <c r="AL13" s="12">
        <v>2024.0</v>
      </c>
      <c r="AM13" s="12">
        <v>2024.0</v>
      </c>
      <c r="AN13" s="12">
        <v>2024.0</v>
      </c>
      <c r="AO13" s="12">
        <v>2024.0</v>
      </c>
      <c r="AP13" s="12">
        <v>2024.0</v>
      </c>
      <c r="AQ13" s="12">
        <v>2024.0</v>
      </c>
      <c r="AR13" s="12">
        <v>2024.0</v>
      </c>
      <c r="AS13" s="12">
        <v>2024.0</v>
      </c>
      <c r="AT13" s="12">
        <v>2024.0</v>
      </c>
      <c r="AU13" s="12">
        <v>2024.0</v>
      </c>
      <c r="AV13" s="12">
        <v>2024.0</v>
      </c>
      <c r="AW13" s="12">
        <v>2024.0</v>
      </c>
      <c r="AX13" s="12">
        <v>2024.0</v>
      </c>
      <c r="AY13" s="12">
        <v>2024.0</v>
      </c>
      <c r="AZ13" s="12">
        <v>2024.0</v>
      </c>
      <c r="BA13" s="12">
        <v>2024.0</v>
      </c>
      <c r="BB13" s="12">
        <v>2024.0</v>
      </c>
      <c r="BC13" s="12">
        <v>2024.0</v>
      </c>
      <c r="BD13" s="12">
        <v>2024.0</v>
      </c>
      <c r="BE13" s="12">
        <v>2024.0</v>
      </c>
      <c r="BF13" s="12">
        <v>2024.0</v>
      </c>
      <c r="BG13" s="12">
        <v>2024.0</v>
      </c>
      <c r="BH13" s="12">
        <v>2024.0</v>
      </c>
      <c r="BI13" s="12">
        <v>2024.0</v>
      </c>
    </row>
    <row r="14">
      <c r="A14" s="11" t="s">
        <v>47</v>
      </c>
      <c r="B14" s="12">
        <v>1.0</v>
      </c>
      <c r="C14" s="12">
        <v>1.0</v>
      </c>
      <c r="D14" s="12">
        <v>1.0</v>
      </c>
      <c r="E14" s="12">
        <v>1.0</v>
      </c>
      <c r="F14" s="12">
        <v>1.0</v>
      </c>
      <c r="G14" s="12">
        <v>2.0</v>
      </c>
      <c r="H14" s="12">
        <v>2.0</v>
      </c>
      <c r="I14" s="12">
        <v>2.0</v>
      </c>
      <c r="J14" s="12">
        <v>2.0</v>
      </c>
      <c r="K14" s="12">
        <v>2.0</v>
      </c>
      <c r="L14" s="12">
        <v>3.0</v>
      </c>
      <c r="M14" s="12">
        <v>3.0</v>
      </c>
      <c r="N14" s="12">
        <v>3.0</v>
      </c>
      <c r="O14" s="12">
        <v>3.0</v>
      </c>
      <c r="P14" s="12">
        <v>3.0</v>
      </c>
      <c r="Q14" s="12">
        <v>4.0</v>
      </c>
      <c r="R14" s="12">
        <v>4.0</v>
      </c>
      <c r="S14" s="12">
        <v>4.0</v>
      </c>
      <c r="T14" s="12">
        <v>4.0</v>
      </c>
      <c r="U14" s="12">
        <v>4.0</v>
      </c>
      <c r="V14" s="12">
        <v>5.0</v>
      </c>
      <c r="W14" s="12">
        <v>5.0</v>
      </c>
      <c r="X14" s="12">
        <v>5.0</v>
      </c>
      <c r="Y14" s="12">
        <v>5.0</v>
      </c>
      <c r="Z14" s="12">
        <v>5.0</v>
      </c>
      <c r="AA14" s="12">
        <v>6.0</v>
      </c>
      <c r="AB14" s="12">
        <v>6.0</v>
      </c>
      <c r="AC14" s="12">
        <v>6.0</v>
      </c>
      <c r="AD14" s="12">
        <v>6.0</v>
      </c>
      <c r="AE14" s="12">
        <v>6.0</v>
      </c>
      <c r="AF14" s="12">
        <v>7.0</v>
      </c>
      <c r="AG14" s="12">
        <v>7.0</v>
      </c>
      <c r="AH14" s="12">
        <v>7.0</v>
      </c>
      <c r="AI14" s="12">
        <v>7.0</v>
      </c>
      <c r="AJ14" s="12">
        <v>7.0</v>
      </c>
      <c r="AK14" s="12">
        <v>8.0</v>
      </c>
      <c r="AL14" s="12">
        <v>8.0</v>
      </c>
      <c r="AM14" s="12">
        <v>8.0</v>
      </c>
      <c r="AN14" s="12">
        <v>8.0</v>
      </c>
      <c r="AO14" s="12">
        <v>8.0</v>
      </c>
      <c r="AP14" s="12">
        <v>9.0</v>
      </c>
      <c r="AQ14" s="12">
        <v>9.0</v>
      </c>
      <c r="AR14" s="12">
        <v>9.0</v>
      </c>
      <c r="AS14" s="12">
        <v>9.0</v>
      </c>
      <c r="AT14" s="12">
        <v>9.0</v>
      </c>
      <c r="AU14" s="12">
        <v>10.0</v>
      </c>
      <c r="AV14" s="12">
        <v>10.0</v>
      </c>
      <c r="AW14" s="12">
        <v>10.0</v>
      </c>
      <c r="AX14" s="12">
        <v>10.0</v>
      </c>
      <c r="AY14" s="12">
        <v>10.0</v>
      </c>
      <c r="AZ14" s="12">
        <v>11.0</v>
      </c>
      <c r="BA14" s="12">
        <v>11.0</v>
      </c>
      <c r="BB14" s="12">
        <v>11.0</v>
      </c>
      <c r="BC14" s="12">
        <v>11.0</v>
      </c>
      <c r="BD14" s="12">
        <v>11.0</v>
      </c>
      <c r="BE14" s="12">
        <v>12.0</v>
      </c>
      <c r="BF14" s="12">
        <v>12.0</v>
      </c>
      <c r="BG14" s="12">
        <v>12.0</v>
      </c>
      <c r="BH14" s="12">
        <v>12.0</v>
      </c>
      <c r="BI14" s="12">
        <v>12.0</v>
      </c>
      <c r="BK14" s="17" t="s">
        <v>73</v>
      </c>
    </row>
    <row r="15">
      <c r="A15" s="11" t="s">
        <v>48</v>
      </c>
      <c r="B15" s="12" t="s">
        <v>49</v>
      </c>
      <c r="G15" s="12" t="s">
        <v>50</v>
      </c>
      <c r="L15" s="12" t="s">
        <v>51</v>
      </c>
      <c r="Q15" s="12" t="s">
        <v>52</v>
      </c>
      <c r="V15" s="12" t="s">
        <v>53</v>
      </c>
      <c r="AA15" s="12" t="s">
        <v>54</v>
      </c>
      <c r="AF15" s="12" t="s">
        <v>55</v>
      </c>
      <c r="AK15" s="12" t="s">
        <v>56</v>
      </c>
      <c r="AP15" s="12" t="s">
        <v>57</v>
      </c>
      <c r="AU15" s="12" t="s">
        <v>58</v>
      </c>
      <c r="AZ15" s="12" t="s">
        <v>59</v>
      </c>
      <c r="BE15" s="12" t="s">
        <v>60</v>
      </c>
      <c r="BJ15" s="14" t="s">
        <v>74</v>
      </c>
      <c r="BK15" s="17" t="s">
        <v>75</v>
      </c>
    </row>
    <row r="16">
      <c r="B16" s="13" t="s">
        <v>62</v>
      </c>
      <c r="C16" s="13" t="s">
        <v>63</v>
      </c>
      <c r="D16" s="13" t="s">
        <v>64</v>
      </c>
      <c r="E16" s="13" t="s">
        <v>65</v>
      </c>
      <c r="F16" s="13" t="s">
        <v>66</v>
      </c>
      <c r="G16" s="13" t="s">
        <v>62</v>
      </c>
      <c r="H16" s="13" t="s">
        <v>63</v>
      </c>
      <c r="I16" s="13" t="s">
        <v>64</v>
      </c>
      <c r="J16" s="13" t="s">
        <v>65</v>
      </c>
      <c r="K16" s="13" t="s">
        <v>66</v>
      </c>
      <c r="L16" s="13" t="s">
        <v>62</v>
      </c>
      <c r="M16" s="13" t="s">
        <v>63</v>
      </c>
      <c r="N16" s="13" t="s">
        <v>64</v>
      </c>
      <c r="O16" s="13" t="s">
        <v>65</v>
      </c>
      <c r="P16" s="13" t="s">
        <v>66</v>
      </c>
      <c r="Q16" s="13" t="s">
        <v>62</v>
      </c>
      <c r="R16" s="13" t="s">
        <v>63</v>
      </c>
      <c r="S16" s="13" t="s">
        <v>64</v>
      </c>
      <c r="T16" s="13" t="s">
        <v>65</v>
      </c>
      <c r="U16" s="13" t="s">
        <v>66</v>
      </c>
      <c r="V16" s="13" t="s">
        <v>62</v>
      </c>
      <c r="W16" s="13" t="s">
        <v>63</v>
      </c>
      <c r="X16" s="13" t="s">
        <v>64</v>
      </c>
      <c r="Y16" s="13" t="s">
        <v>65</v>
      </c>
      <c r="Z16" s="13" t="s">
        <v>66</v>
      </c>
      <c r="AA16" s="13" t="s">
        <v>62</v>
      </c>
      <c r="AB16" s="13" t="s">
        <v>63</v>
      </c>
      <c r="AC16" s="13" t="s">
        <v>64</v>
      </c>
      <c r="AD16" s="13" t="s">
        <v>65</v>
      </c>
      <c r="AE16" s="13" t="s">
        <v>66</v>
      </c>
      <c r="AF16" s="13" t="s">
        <v>62</v>
      </c>
      <c r="AG16" s="13" t="s">
        <v>63</v>
      </c>
      <c r="AH16" s="13" t="s">
        <v>64</v>
      </c>
      <c r="AI16" s="13" t="s">
        <v>65</v>
      </c>
      <c r="AJ16" s="13" t="s">
        <v>66</v>
      </c>
      <c r="AK16" s="13" t="s">
        <v>62</v>
      </c>
      <c r="AL16" s="13" t="s">
        <v>63</v>
      </c>
      <c r="AM16" s="13" t="s">
        <v>64</v>
      </c>
      <c r="AN16" s="13" t="s">
        <v>65</v>
      </c>
      <c r="AO16" s="13" t="s">
        <v>66</v>
      </c>
      <c r="AP16" s="13" t="s">
        <v>62</v>
      </c>
      <c r="AQ16" s="13" t="s">
        <v>63</v>
      </c>
      <c r="AR16" s="13" t="s">
        <v>64</v>
      </c>
      <c r="AS16" s="13" t="s">
        <v>65</v>
      </c>
      <c r="AT16" s="13" t="s">
        <v>66</v>
      </c>
      <c r="AU16" s="13" t="s">
        <v>62</v>
      </c>
      <c r="AV16" s="13" t="s">
        <v>63</v>
      </c>
      <c r="AW16" s="13" t="s">
        <v>64</v>
      </c>
      <c r="AX16" s="13" t="s">
        <v>65</v>
      </c>
      <c r="AY16" s="13" t="s">
        <v>66</v>
      </c>
      <c r="AZ16" s="13" t="s">
        <v>62</v>
      </c>
      <c r="BA16" s="13" t="s">
        <v>63</v>
      </c>
      <c r="BB16" s="13" t="s">
        <v>64</v>
      </c>
      <c r="BC16" s="13" t="s">
        <v>65</v>
      </c>
      <c r="BD16" s="13" t="s">
        <v>66</v>
      </c>
      <c r="BE16" s="13" t="s">
        <v>62</v>
      </c>
      <c r="BF16" s="13" t="s">
        <v>63</v>
      </c>
      <c r="BG16" s="13" t="s">
        <v>64</v>
      </c>
      <c r="BH16" s="13" t="s">
        <v>65</v>
      </c>
      <c r="BI16" s="13" t="s">
        <v>66</v>
      </c>
      <c r="BK16" s="13" t="s">
        <v>67</v>
      </c>
      <c r="BL16" s="13" t="s">
        <v>68</v>
      </c>
      <c r="BM16" s="13" t="s">
        <v>69</v>
      </c>
      <c r="BN16" s="13" t="s">
        <v>70</v>
      </c>
      <c r="BO16" s="13" t="s">
        <v>71</v>
      </c>
      <c r="BP16" s="13" t="s">
        <v>72</v>
      </c>
    </row>
    <row r="17">
      <c r="A17" s="2" t="s">
        <v>14</v>
      </c>
      <c r="B17" s="15">
        <v>0.0</v>
      </c>
      <c r="C17" s="16">
        <f>sumifs(taxImpact,assetLookUp,$A17,financialMonth,C$2,financialYear,C$1,transactionType,"Revaluation")</f>
        <v>0</v>
      </c>
      <c r="D17" s="16">
        <f>sumifs(taxImpact,assetLookUp,$A17,financialMonth,C$2,financialYear,C$1,transactionType,"Acquisition")</f>
        <v>5000000</v>
      </c>
      <c r="E17" s="16">
        <f>sumifs(taxImpact,assetLookUp,$A17,financialMonth,C$2,financialYear,C$1,transactionType,"Disposal")</f>
        <v>0</v>
      </c>
      <c r="F17" s="16">
        <f t="array" ref="F17">-sum(B17:E17)*index(depnRateTax,match($A17,assetLookUp,0),)</f>
        <v>0</v>
      </c>
      <c r="G17" s="16">
        <f t="shared" ref="G17:G22" si="18">sum(B17:F17)</f>
        <v>5000000</v>
      </c>
      <c r="H17" s="16">
        <f>sumifs(taxImpact,assetLookUp,$A17,financialMonth,H$2,financialYear,H$1,transactionType,"Revaluation")</f>
        <v>0</v>
      </c>
      <c r="I17" s="16">
        <f>sumifs(taxImpact,assetLookUp,$A17,financialMonth,H$2,financialYear,H$1,transactionType,"Acquisition")</f>
        <v>0</v>
      </c>
      <c r="J17" s="16">
        <f>sumifs(taxImpact,assetLookUp,$A17,financialMonth,H$2,financialYear,H$1,transactionType,"Disposal")</f>
        <v>0</v>
      </c>
      <c r="K17" s="16">
        <f t="array" ref="K17">-sum(G17:J17)*index(depnRateTax,match($A17,assetLookUp,0),)</f>
        <v>0</v>
      </c>
      <c r="L17" s="16">
        <f t="shared" ref="L17:L22" si="19">sum(G17:K17)</f>
        <v>5000000</v>
      </c>
      <c r="M17" s="16">
        <f>sumifs(taxImpact,assetLookUp,$A17,financialMonth,M$2,financialYear,M$1,transactionType,"Revaluation")</f>
        <v>0</v>
      </c>
      <c r="N17" s="16">
        <f>sumifs(taxImpact,assetLookUp,$A17,financialMonth,M$2,financialYear,M$1,transactionType,"Acquisition")</f>
        <v>0</v>
      </c>
      <c r="O17" s="16">
        <f>sumifs(taxImpact,assetLookUp,$A17,financialMonth,M$2,financialYear,M$1,transactionType,"Disposal")</f>
        <v>0</v>
      </c>
      <c r="P17" s="16">
        <f t="array" ref="P17">-sum(L17:O17)*index(depnRateTax,match($A17,assetLookUp,0),)</f>
        <v>0</v>
      </c>
      <c r="Q17" s="16">
        <f t="shared" ref="Q17:Q22" si="20">sum(L17:P17)</f>
        <v>5000000</v>
      </c>
      <c r="R17" s="16">
        <f>sumifs(taxImpact,assetLookUp,$A17,financialMonth,R$2,financialYear,R$1,transactionType,"Revaluation")</f>
        <v>0</v>
      </c>
      <c r="S17" s="16">
        <f>sumifs(taxImpact,assetLookUp,$A17,financialMonth,R$2,financialYear,R$1,transactionType,"Acquisition")</f>
        <v>0</v>
      </c>
      <c r="T17" s="16">
        <f>sumifs(taxImpact,assetLookUp,$A17,financialMonth,R$2,financialYear,R$1,transactionType,"Disposal")</f>
        <v>0</v>
      </c>
      <c r="U17" s="16">
        <f t="array" ref="U17">-sum(Q17:T17)*index(depnRateTax,match($A17,assetLookUp,0),)</f>
        <v>0</v>
      </c>
      <c r="V17" s="16">
        <f t="shared" ref="V17:V22" si="21">sum(Q17:U17)</f>
        <v>5000000</v>
      </c>
      <c r="W17" s="16">
        <f>sumifs(taxImpact,assetLookUp,$A17,financialMonth,W$2,financialYear,W$1,transactionType,"Revaluation")</f>
        <v>0</v>
      </c>
      <c r="X17" s="16">
        <f>sumifs(taxImpact,assetLookUp,$A17,financialMonth,W$2,financialYear,W$1,transactionType,"Acquisition")</f>
        <v>0</v>
      </c>
      <c r="Y17" s="16">
        <f>sumifs(taxImpact,assetLookUp,$A17,financialMonth,W$2,financialYear,W$1,transactionType,"Disposal")</f>
        <v>0</v>
      </c>
      <c r="Z17" s="16">
        <f t="array" ref="Z17">-sum(V17:Y17)*index(depnRateTax,match($A17,assetLookUp,0),)</f>
        <v>0</v>
      </c>
      <c r="AA17" s="16">
        <f t="shared" ref="AA17:AA22" si="22">sum(V17:Z17)</f>
        <v>5000000</v>
      </c>
      <c r="AB17" s="16">
        <f>sumifs(taxImpact,assetLookUp,$A17,financialMonth,AB$2,financialYear,AB$1,transactionType,"Revaluation")</f>
        <v>0</v>
      </c>
      <c r="AC17" s="16">
        <f>sumifs(taxImpact,assetLookUp,$A17,financialMonth,AB$2,financialYear,AB$1,transactionType,"Acquisition")</f>
        <v>0</v>
      </c>
      <c r="AD17" s="16">
        <f>sumifs(taxImpact,assetLookUp,$A17,financialMonth,AB$2,financialYear,AB$1,transactionType,"Disposal")</f>
        <v>0</v>
      </c>
      <c r="AE17" s="16">
        <f t="array" ref="AE17">-sum(AA17:AD17)*index(depnRateTax,match($A17,assetLookUp,0),)</f>
        <v>0</v>
      </c>
      <c r="AF17" s="16">
        <f t="shared" ref="AF17:AF22" si="23">sum(AA17:AE17)</f>
        <v>5000000</v>
      </c>
      <c r="AG17" s="16">
        <f>sumifs(taxImpact,assetLookUp,$A17,financialMonth,AG$2,financialYear,AG$1,transactionType,"Revaluation")</f>
        <v>0</v>
      </c>
      <c r="AH17" s="16">
        <f>sumifs(taxImpact,assetLookUp,$A17,financialMonth,AG$2,financialYear,AG$1,transactionType,"Acquisition")</f>
        <v>0</v>
      </c>
      <c r="AI17" s="16">
        <f>sumifs(taxImpact,assetLookUp,$A17,financialMonth,AG$2,financialYear,AG$1,transactionType,"Disposal")</f>
        <v>0</v>
      </c>
      <c r="AJ17" s="16">
        <f t="array" ref="AJ17">-sum(AF17:AI17)*index(depnRateTax,match($A17,assetLookUp,0),)</f>
        <v>0</v>
      </c>
      <c r="AK17" s="16">
        <f t="shared" ref="AK17:AK22" si="24">sum(AF17:AJ17)</f>
        <v>5000000</v>
      </c>
      <c r="AL17" s="16">
        <f>sumifs(taxImpact,assetLookUp,$A17,financialMonth,AL$2,financialYear,AL$1,transactionType,"Revaluation")</f>
        <v>0</v>
      </c>
      <c r="AM17" s="16">
        <f>sumifs(taxImpact,assetLookUp,$A17,financialMonth,AL$2,financialYear,AL$1,transactionType,"Acquisition")</f>
        <v>0</v>
      </c>
      <c r="AN17" s="16">
        <f>sumifs(taxImpact,assetLookUp,$A17,financialMonth,AL$2,financialYear,AL$1,transactionType,"Disposal")</f>
        <v>0</v>
      </c>
      <c r="AO17" s="16">
        <f t="array" ref="AO17">-sum(AK17:AN17)*index(depnRateTax,match($A17,assetLookUp,0),)</f>
        <v>0</v>
      </c>
      <c r="AP17" s="16">
        <f t="shared" ref="AP17:AP22" si="25">sum(AK17:AO17)</f>
        <v>5000000</v>
      </c>
      <c r="AQ17" s="16">
        <f>sumifs(taxImpact,assetLookUp,$A17,financialMonth,AQ$2,financialYear,AQ$1,transactionType,"Revaluation")</f>
        <v>0</v>
      </c>
      <c r="AR17" s="16">
        <f>sumifs(taxImpact,assetLookUp,$A17,financialMonth,AQ$2,financialYear,AQ$1,transactionType,"Acquisition")</f>
        <v>0</v>
      </c>
      <c r="AS17" s="16">
        <f>sumifs(taxImpact,assetLookUp,$A17,financialMonth,AQ$2,financialYear,AQ$1,transactionType,"Disposal")</f>
        <v>0</v>
      </c>
      <c r="AT17" s="16">
        <f t="array" ref="AT17">-sum(AP17:AS17)*index(depnRateTax,match($A17,assetLookUp,0),)</f>
        <v>0</v>
      </c>
      <c r="AU17" s="16">
        <f t="shared" ref="AU17:AU22" si="26">sum(AP17:AT17)</f>
        <v>5000000</v>
      </c>
      <c r="AV17" s="16">
        <f>sumifs(taxImpact,assetLookUp,$A17,financialMonth,AV$2,financialYear,AV$1,transactionType,"Revaluation")</f>
        <v>0</v>
      </c>
      <c r="AW17" s="16">
        <f>sumifs(taxImpact,assetLookUp,$A17,financialMonth,AV$2,financialYear,AV$1,transactionType,"Acquisition")</f>
        <v>0</v>
      </c>
      <c r="AX17" s="16">
        <f>sumifs(taxImpact,assetLookUp,$A17,financialMonth,AV$2,financialYear,AV$1,transactionType,"Disposal")</f>
        <v>0</v>
      </c>
      <c r="AY17" s="16">
        <f t="array" ref="AY17">-sum(AU17:AX17)*index(depnRateTax,match($A17,assetLookUp,0),)</f>
        <v>0</v>
      </c>
      <c r="AZ17" s="16">
        <f t="shared" ref="AZ17:AZ22" si="27">sum(AU17:AY17)</f>
        <v>5000000</v>
      </c>
      <c r="BA17" s="16">
        <f>sumifs(taxImpact,assetLookUp,$A17,financialMonth,BA$2,financialYear,BA$1,transactionType,"Revaluation")</f>
        <v>0</v>
      </c>
      <c r="BB17" s="16">
        <f>sumifs(taxImpact,assetLookUp,$A17,financialMonth,BA$2,financialYear,BA$1,transactionType,"Acquisition")</f>
        <v>0</v>
      </c>
      <c r="BC17" s="16">
        <f>sumifs(taxImpact,assetLookUp,$A17,financialMonth,BA$2,financialYear,BA$1,transactionType,"Disposal")</f>
        <v>0</v>
      </c>
      <c r="BD17" s="16">
        <f t="array" ref="BD17">-sum(AZ17:BC17)*index(depnRateTax,match($A17,assetLookUp,0),)</f>
        <v>0</v>
      </c>
      <c r="BE17" s="16">
        <f t="shared" ref="BE17:BE22" si="28">sum(AZ17:BD17)</f>
        <v>5000000</v>
      </c>
      <c r="BF17" s="16">
        <f>sumifs(taxImpact,assetLookUp,$A17,financialMonth,BF$2,financialYear,BF$1,transactionType,"Revaluation")</f>
        <v>0</v>
      </c>
      <c r="BG17" s="16">
        <f>sumifs(taxImpact,assetLookUp,$A17,financialMonth,BF$2,financialYear,BF$1,transactionType,"Acquisition")</f>
        <v>0</v>
      </c>
      <c r="BH17" s="16">
        <f>sumifs(taxImpact,assetLookUp,$A17,financialMonth,BF$2,financialYear,BF$1,transactionType,"Disposal")</f>
        <v>0</v>
      </c>
      <c r="BI17" s="16">
        <f t="array" ref="BI17">-sum(BE17:BH17)*index(depnRateTax,match($A17,assetLookUp,0),)</f>
        <v>0</v>
      </c>
      <c r="BJ17" s="4" t="str">
        <f t="array" ref="BJ17">index(assetClass,match($A17,assetLookUp,0))</f>
        <v>Land (freehold)</v>
      </c>
      <c r="BK17" s="16">
        <f t="shared" ref="BK17:BK22" si="29">B17</f>
        <v>0</v>
      </c>
      <c r="BL17" s="16">
        <f t="shared" ref="BL17:BL22" si="30">sumif($B$4:$BI$4,"Revalns",$B17:$BI17)</f>
        <v>0</v>
      </c>
      <c r="BM17" s="16">
        <f t="shared" ref="BM17:BM22" si="31">sumif($B$4:$BI$4,"Acquisitions",$B17:$BI17)</f>
        <v>5000000</v>
      </c>
      <c r="BN17" s="16">
        <f t="shared" ref="BN17:BN22" si="32">sumif($B$4:$BI$4,"Disposals",$B17:$BI17)</f>
        <v>0</v>
      </c>
      <c r="BO17" s="16">
        <f t="shared" ref="BO17:BO22" si="33">sumif($B$4:$BI$4,"Depn",$B17:$BI17)</f>
        <v>0</v>
      </c>
      <c r="BP17" s="16">
        <f t="shared" ref="BP17:BP22" si="34">sum(BK17:BO17)</f>
        <v>5000000</v>
      </c>
    </row>
    <row r="18">
      <c r="A18" s="2" t="s">
        <v>20</v>
      </c>
      <c r="B18" s="15">
        <v>0.0</v>
      </c>
      <c r="C18" s="16">
        <f>sumifs(taxImpact,assetLookUp,$A18,financialMonth,C$2,financialYear,C$1,transactionType,"Revaluation")</f>
        <v>0</v>
      </c>
      <c r="D18" s="16">
        <f>sumifs(taxImpact,assetLookUp,$A18,financialMonth,C$2,financialYear,C$1,transactionType,"Acquisition")</f>
        <v>2000000</v>
      </c>
      <c r="E18" s="16">
        <f>sumifs(taxImpact,assetLookUp,$A18,financialMonth,C$2,financialYear,C$1,transactionType,"Disposal")</f>
        <v>0</v>
      </c>
      <c r="F18" s="16">
        <f t="array" ref="F18">-sum(B18:E18)*index(depnRateTax,match($A18,assetLookUp,0),)</f>
        <v>0</v>
      </c>
      <c r="G18" s="16">
        <f t="shared" si="18"/>
        <v>2000000</v>
      </c>
      <c r="H18" s="16">
        <f>sumifs(taxImpact,assetLookUp,$A18,financialMonth,H$2,financialYear,H$1,transactionType,"Revaluation")</f>
        <v>0</v>
      </c>
      <c r="I18" s="16">
        <f>sumifs(taxImpact,assetLookUp,$A18,financialMonth,H$2,financialYear,H$1,transactionType,"Acquisition")</f>
        <v>0</v>
      </c>
      <c r="J18" s="16">
        <f>sumifs(taxImpact,assetLookUp,$A18,financialMonth,H$2,financialYear,H$1,transactionType,"Disposal")</f>
        <v>0</v>
      </c>
      <c r="K18" s="16">
        <f t="array" ref="K18">-sum(G18:J18)*index(depnRateTax,match($A18,assetLookUp,0),)</f>
        <v>0</v>
      </c>
      <c r="L18" s="16">
        <f t="shared" si="19"/>
        <v>2000000</v>
      </c>
      <c r="M18" s="16">
        <f>sumifs(taxImpact,assetLookUp,$A18,financialMonth,M$2,financialYear,M$1,transactionType,"Revaluation")</f>
        <v>0</v>
      </c>
      <c r="N18" s="16">
        <f>sumifs(taxImpact,assetLookUp,$A18,financialMonth,M$2,financialYear,M$1,transactionType,"Acquisition")</f>
        <v>0</v>
      </c>
      <c r="O18" s="16">
        <f>sumifs(taxImpact,assetLookUp,$A18,financialMonth,M$2,financialYear,M$1,transactionType,"Disposal")</f>
        <v>0</v>
      </c>
      <c r="P18" s="16">
        <f t="array" ref="P18">-sum(L18:O18)*index(depnRateTax,match($A18,assetLookUp,0),)</f>
        <v>0</v>
      </c>
      <c r="Q18" s="16">
        <f t="shared" si="20"/>
        <v>2000000</v>
      </c>
      <c r="R18" s="16">
        <f>sumifs(taxImpact,assetLookUp,$A18,financialMonth,R$2,financialYear,R$1,transactionType,"Revaluation")</f>
        <v>0</v>
      </c>
      <c r="S18" s="16">
        <f>sumifs(taxImpact,assetLookUp,$A18,financialMonth,R$2,financialYear,R$1,transactionType,"Acquisition")</f>
        <v>0</v>
      </c>
      <c r="T18" s="16">
        <f>sumifs(taxImpact,assetLookUp,$A18,financialMonth,R$2,financialYear,R$1,transactionType,"Disposal")</f>
        <v>0</v>
      </c>
      <c r="U18" s="16">
        <f t="array" ref="U18">-sum(Q18:T18)*index(depnRateTax,match($A18,assetLookUp,0),)</f>
        <v>0</v>
      </c>
      <c r="V18" s="16">
        <f t="shared" si="21"/>
        <v>2000000</v>
      </c>
      <c r="W18" s="16">
        <f>sumifs(taxImpact,assetLookUp,$A18,financialMonth,W$2,financialYear,W$1,transactionType,"Revaluation")</f>
        <v>0</v>
      </c>
      <c r="X18" s="16">
        <f>sumifs(taxImpact,assetLookUp,$A18,financialMonth,W$2,financialYear,W$1,transactionType,"Acquisition")</f>
        <v>0</v>
      </c>
      <c r="Y18" s="16">
        <f>sumifs(taxImpact,assetLookUp,$A18,financialMonth,W$2,financialYear,W$1,transactionType,"Disposal")</f>
        <v>0</v>
      </c>
      <c r="Z18" s="16">
        <f t="array" ref="Z18">-sum(V18:Y18)*index(depnRateTax,match($A18,assetLookUp,0),)</f>
        <v>0</v>
      </c>
      <c r="AA18" s="16">
        <f t="shared" si="22"/>
        <v>2000000</v>
      </c>
      <c r="AB18" s="16">
        <f>sumifs(taxImpact,assetLookUp,$A18,financialMonth,AB$2,financialYear,AB$1,transactionType,"Revaluation")</f>
        <v>0</v>
      </c>
      <c r="AC18" s="16">
        <f>sumifs(taxImpact,assetLookUp,$A18,financialMonth,AB$2,financialYear,AB$1,transactionType,"Acquisition")</f>
        <v>0</v>
      </c>
      <c r="AD18" s="16">
        <f>sumifs(taxImpact,assetLookUp,$A18,financialMonth,AB$2,financialYear,AB$1,transactionType,"Disposal")</f>
        <v>0</v>
      </c>
      <c r="AE18" s="16">
        <f t="array" ref="AE18">-sum(AA18:AD18)*index(depnRateTax,match($A18,assetLookUp,0),)</f>
        <v>0</v>
      </c>
      <c r="AF18" s="16">
        <f t="shared" si="23"/>
        <v>2000000</v>
      </c>
      <c r="AG18" s="16">
        <f>sumifs(taxImpact,assetLookUp,$A18,financialMonth,AG$2,financialYear,AG$1,transactionType,"Revaluation")</f>
        <v>0</v>
      </c>
      <c r="AH18" s="16">
        <f>sumifs(taxImpact,assetLookUp,$A18,financialMonth,AG$2,financialYear,AG$1,transactionType,"Acquisition")</f>
        <v>0</v>
      </c>
      <c r="AI18" s="16">
        <f>sumifs(taxImpact,assetLookUp,$A18,financialMonth,AG$2,financialYear,AG$1,transactionType,"Disposal")</f>
        <v>0</v>
      </c>
      <c r="AJ18" s="16">
        <f t="array" ref="AJ18">-sum(AF18:AI18)*index(depnRateTax,match($A18,assetLookUp,0),)</f>
        <v>0</v>
      </c>
      <c r="AK18" s="16">
        <f t="shared" si="24"/>
        <v>2000000</v>
      </c>
      <c r="AL18" s="16">
        <f>sumifs(taxImpact,assetLookUp,$A18,financialMonth,AL$2,financialYear,AL$1,transactionType,"Revaluation")</f>
        <v>0</v>
      </c>
      <c r="AM18" s="16">
        <f>sumifs(taxImpact,assetLookUp,$A18,financialMonth,AL$2,financialYear,AL$1,transactionType,"Acquisition")</f>
        <v>0</v>
      </c>
      <c r="AN18" s="16">
        <f>sumifs(taxImpact,assetLookUp,$A18,financialMonth,AL$2,financialYear,AL$1,transactionType,"Disposal")</f>
        <v>0</v>
      </c>
      <c r="AO18" s="16">
        <f t="array" ref="AO18">-sum(AK18:AN18)*index(depnRateTax,match($A18,assetLookUp,0),)</f>
        <v>0</v>
      </c>
      <c r="AP18" s="16">
        <f t="shared" si="25"/>
        <v>2000000</v>
      </c>
      <c r="AQ18" s="16">
        <f>sumifs(taxImpact,assetLookUp,$A18,financialMonth,AQ$2,financialYear,AQ$1,transactionType,"Revaluation")</f>
        <v>0</v>
      </c>
      <c r="AR18" s="16">
        <f>sumifs(taxImpact,assetLookUp,$A18,financialMonth,AQ$2,financialYear,AQ$1,transactionType,"Acquisition")</f>
        <v>0</v>
      </c>
      <c r="AS18" s="16">
        <f>sumifs(taxImpact,assetLookUp,$A18,financialMonth,AQ$2,financialYear,AQ$1,transactionType,"Disposal")</f>
        <v>0</v>
      </c>
      <c r="AT18" s="16">
        <f t="array" ref="AT18">-sum(AP18:AS18)*index(depnRateTax,match($A18,assetLookUp,0),)</f>
        <v>0</v>
      </c>
      <c r="AU18" s="16">
        <f t="shared" si="26"/>
        <v>2000000</v>
      </c>
      <c r="AV18" s="16">
        <f>sumifs(taxImpact,assetLookUp,$A18,financialMonth,AV$2,financialYear,AV$1,transactionType,"Revaluation")</f>
        <v>0</v>
      </c>
      <c r="AW18" s="16">
        <f>sumifs(taxImpact,assetLookUp,$A18,financialMonth,AV$2,financialYear,AV$1,transactionType,"Acquisition")</f>
        <v>0</v>
      </c>
      <c r="AX18" s="16">
        <f>sumifs(taxImpact,assetLookUp,$A18,financialMonth,AV$2,financialYear,AV$1,transactionType,"Disposal")</f>
        <v>0</v>
      </c>
      <c r="AY18" s="16">
        <f t="array" ref="AY18">-sum(AU18:AX18)*index(depnRateTax,match($A18,assetLookUp,0),)</f>
        <v>0</v>
      </c>
      <c r="AZ18" s="16">
        <f t="shared" si="27"/>
        <v>2000000</v>
      </c>
      <c r="BA18" s="16">
        <f>sumifs(taxImpact,assetLookUp,$A18,financialMonth,BA$2,financialYear,BA$1,transactionType,"Revaluation")</f>
        <v>0</v>
      </c>
      <c r="BB18" s="16">
        <f>sumifs(taxImpact,assetLookUp,$A18,financialMonth,BA$2,financialYear,BA$1,transactionType,"Acquisition")</f>
        <v>0</v>
      </c>
      <c r="BC18" s="16">
        <f>sumifs(taxImpact,assetLookUp,$A18,financialMonth,BA$2,financialYear,BA$1,transactionType,"Disposal")</f>
        <v>0</v>
      </c>
      <c r="BD18" s="16">
        <f t="array" ref="BD18">-sum(AZ18:BC18)*index(depnRateTax,match($A18,assetLookUp,0),)</f>
        <v>0</v>
      </c>
      <c r="BE18" s="16">
        <f t="shared" si="28"/>
        <v>2000000</v>
      </c>
      <c r="BF18" s="16">
        <f>sumifs(taxImpact,assetLookUp,$A18,financialMonth,BF$2,financialYear,BF$1,transactionType,"Revaluation")</f>
        <v>0</v>
      </c>
      <c r="BG18" s="16">
        <f>sumifs(taxImpact,assetLookUp,$A18,financialMonth,BF$2,financialYear,BF$1,transactionType,"Acquisition")</f>
        <v>0</v>
      </c>
      <c r="BH18" s="16">
        <f>sumifs(taxImpact,assetLookUp,$A18,financialMonth,BF$2,financialYear,BF$1,transactionType,"Disposal")</f>
        <v>0</v>
      </c>
      <c r="BI18" s="16">
        <f t="array" ref="BI18">-sum(BE18:BH18)*index(depnRateTax,match($A18,assetLookUp,0),)</f>
        <v>0</v>
      </c>
      <c r="BJ18" s="4" t="str">
        <f t="array" ref="BJ18">index(assetClass,match($A18,assetLookUp,0))</f>
        <v>Building structure</v>
      </c>
      <c r="BK18" s="16">
        <f t="shared" si="29"/>
        <v>0</v>
      </c>
      <c r="BL18" s="16">
        <f t="shared" si="30"/>
        <v>0</v>
      </c>
      <c r="BM18" s="16">
        <f t="shared" si="31"/>
        <v>2000000</v>
      </c>
      <c r="BN18" s="16">
        <f t="shared" si="32"/>
        <v>0</v>
      </c>
      <c r="BO18" s="16">
        <f t="shared" si="33"/>
        <v>0</v>
      </c>
      <c r="BP18" s="16">
        <f t="shared" si="34"/>
        <v>2000000</v>
      </c>
    </row>
    <row r="19">
      <c r="A19" s="2" t="s">
        <v>24</v>
      </c>
      <c r="B19" s="15">
        <v>0.0</v>
      </c>
      <c r="C19" s="16">
        <f>sumifs(taxImpact,assetLookUp,$A19,financialMonth,C$2,financialYear,C$1,transactionType,"Revaluation")</f>
        <v>0</v>
      </c>
      <c r="D19" s="16">
        <f>sumifs(taxImpact,assetLookUp,$A19,financialMonth,C$2,financialYear,C$1,transactionType,"Acquisition")</f>
        <v>600000</v>
      </c>
      <c r="E19" s="16">
        <f>sumifs(taxImpact,assetLookUp,$A19,financialMonth,C$2,financialYear,C$1,transactionType,"Disposal")</f>
        <v>0</v>
      </c>
      <c r="F19" s="16">
        <f t="array" ref="F19">-sum(B19:E19)*index(depnRateTax,match($A19,assetLookUp,0),)</f>
        <v>-90000</v>
      </c>
      <c r="G19" s="16">
        <f t="shared" si="18"/>
        <v>510000</v>
      </c>
      <c r="H19" s="16">
        <f>sumifs(taxImpact,assetLookUp,$A19,financialMonth,H$2,financialYear,H$1,transactionType,"Revaluation")</f>
        <v>0</v>
      </c>
      <c r="I19" s="16">
        <f>sumifs(taxImpact,assetLookUp,$A19,financialMonth,H$2,financialYear,H$1,transactionType,"Acquisition")</f>
        <v>0</v>
      </c>
      <c r="J19" s="16">
        <f>sumifs(taxImpact,assetLookUp,$A19,financialMonth,H$2,financialYear,H$1,transactionType,"Disposal")</f>
        <v>0</v>
      </c>
      <c r="K19" s="16">
        <f t="array" ref="K19">-sum(G19:J19)*index(depnRateTax,match($A19,assetLookUp,0),)</f>
        <v>-76500</v>
      </c>
      <c r="L19" s="16">
        <f t="shared" si="19"/>
        <v>433500</v>
      </c>
      <c r="M19" s="16">
        <f>sumifs(taxImpact,assetLookUp,$A19,financialMonth,M$2,financialYear,M$1,transactionType,"Revaluation")</f>
        <v>0</v>
      </c>
      <c r="N19" s="16">
        <f>sumifs(taxImpact,assetLookUp,$A19,financialMonth,M$2,financialYear,M$1,transactionType,"Acquisition")</f>
        <v>0</v>
      </c>
      <c r="O19" s="16">
        <f>sumifs(taxImpact,assetLookUp,$A19,financialMonth,M$2,financialYear,M$1,transactionType,"Disposal")</f>
        <v>0</v>
      </c>
      <c r="P19" s="16">
        <f t="array" ref="P19">-sum(L19:O19)*index(depnRateTax,match($A19,assetLookUp,0),)</f>
        <v>-65025</v>
      </c>
      <c r="Q19" s="16">
        <f t="shared" si="20"/>
        <v>368475</v>
      </c>
      <c r="R19" s="16">
        <f>sumifs(taxImpact,assetLookUp,$A19,financialMonth,R$2,financialYear,R$1,transactionType,"Revaluation")</f>
        <v>0</v>
      </c>
      <c r="S19" s="16">
        <f>sumifs(taxImpact,assetLookUp,$A19,financialMonth,R$2,financialYear,R$1,transactionType,"Acquisition")</f>
        <v>0</v>
      </c>
      <c r="T19" s="16">
        <f>sumifs(taxImpact,assetLookUp,$A19,financialMonth,R$2,financialYear,R$1,transactionType,"Disposal")</f>
        <v>0</v>
      </c>
      <c r="U19" s="16">
        <f t="array" ref="U19">-sum(Q19:T19)*index(depnRateTax,match($A19,assetLookUp,0),)</f>
        <v>-55271.25</v>
      </c>
      <c r="V19" s="16">
        <f t="shared" si="21"/>
        <v>313203.75</v>
      </c>
      <c r="W19" s="16">
        <f>sumifs(taxImpact,assetLookUp,$A19,financialMonth,W$2,financialYear,W$1,transactionType,"Revaluation")</f>
        <v>0</v>
      </c>
      <c r="X19" s="16">
        <f>sumifs(taxImpact,assetLookUp,$A19,financialMonth,W$2,financialYear,W$1,transactionType,"Acquisition")</f>
        <v>0</v>
      </c>
      <c r="Y19" s="16">
        <f>sumifs(taxImpact,assetLookUp,$A19,financialMonth,W$2,financialYear,W$1,transactionType,"Disposal")</f>
        <v>0</v>
      </c>
      <c r="Z19" s="16">
        <f t="array" ref="Z19">-sum(V19:Y19)*index(depnRateTax,match($A19,assetLookUp,0),)</f>
        <v>-46980.5625</v>
      </c>
      <c r="AA19" s="16">
        <f t="shared" si="22"/>
        <v>266223.1875</v>
      </c>
      <c r="AB19" s="16">
        <f>sumifs(taxImpact,assetLookUp,$A19,financialMonth,AB$2,financialYear,AB$1,transactionType,"Revaluation")</f>
        <v>0</v>
      </c>
      <c r="AC19" s="16">
        <f>sumifs(taxImpact,assetLookUp,$A19,financialMonth,AB$2,financialYear,AB$1,transactionType,"Acquisition")</f>
        <v>0</v>
      </c>
      <c r="AD19" s="16">
        <f>sumifs(taxImpact,assetLookUp,$A19,financialMonth,AB$2,financialYear,AB$1,transactionType,"Disposal")</f>
        <v>0</v>
      </c>
      <c r="AE19" s="16">
        <f t="array" ref="AE19">-sum(AA19:AD19)*index(depnRateTax,match($A19,assetLookUp,0),)</f>
        <v>-39933.47813</v>
      </c>
      <c r="AF19" s="16">
        <f t="shared" si="23"/>
        <v>226289.7094</v>
      </c>
      <c r="AG19" s="16">
        <f>sumifs(taxImpact,assetLookUp,$A19,financialMonth,AG$2,financialYear,AG$1,transactionType,"Revaluation")</f>
        <v>0</v>
      </c>
      <c r="AH19" s="16">
        <f>sumifs(taxImpact,assetLookUp,$A19,financialMonth,AG$2,financialYear,AG$1,transactionType,"Acquisition")</f>
        <v>0</v>
      </c>
      <c r="AI19" s="16">
        <f>sumifs(taxImpact,assetLookUp,$A19,financialMonth,AG$2,financialYear,AG$1,transactionType,"Disposal")</f>
        <v>0</v>
      </c>
      <c r="AJ19" s="16">
        <f t="array" ref="AJ19">-sum(AF19:AI19)*index(depnRateTax,match($A19,assetLookUp,0),)</f>
        <v>-33943.45641</v>
      </c>
      <c r="AK19" s="16">
        <f t="shared" si="24"/>
        <v>192346.253</v>
      </c>
      <c r="AL19" s="16">
        <f>sumifs(taxImpact,assetLookUp,$A19,financialMonth,AL$2,financialYear,AL$1,transactionType,"Revaluation")</f>
        <v>0</v>
      </c>
      <c r="AM19" s="16">
        <f>sumifs(taxImpact,assetLookUp,$A19,financialMonth,AL$2,financialYear,AL$1,transactionType,"Acquisition")</f>
        <v>0</v>
      </c>
      <c r="AN19" s="16">
        <f>sumifs(taxImpact,assetLookUp,$A19,financialMonth,AL$2,financialYear,AL$1,transactionType,"Disposal")</f>
        <v>0</v>
      </c>
      <c r="AO19" s="16">
        <f t="array" ref="AO19">-sum(AK19:AN19)*index(depnRateTax,match($A19,assetLookUp,0),)</f>
        <v>-28851.93795</v>
      </c>
      <c r="AP19" s="16">
        <f t="shared" si="25"/>
        <v>163494.315</v>
      </c>
      <c r="AQ19" s="16">
        <f>sumifs(taxImpact,assetLookUp,$A19,financialMonth,AQ$2,financialYear,AQ$1,transactionType,"Revaluation")</f>
        <v>0</v>
      </c>
      <c r="AR19" s="16">
        <f>sumifs(taxImpact,assetLookUp,$A19,financialMonth,AQ$2,financialYear,AQ$1,transactionType,"Acquisition")</f>
        <v>0</v>
      </c>
      <c r="AS19" s="16">
        <f>sumifs(taxImpact,assetLookUp,$A19,financialMonth,AQ$2,financialYear,AQ$1,transactionType,"Disposal")</f>
        <v>0</v>
      </c>
      <c r="AT19" s="16">
        <f t="array" ref="AT19">-sum(AP19:AS19)*index(depnRateTax,match($A19,assetLookUp,0),)</f>
        <v>-24524.14725</v>
      </c>
      <c r="AU19" s="16">
        <f t="shared" si="26"/>
        <v>138970.1678</v>
      </c>
      <c r="AV19" s="16">
        <f>sumifs(taxImpact,assetLookUp,$A19,financialMonth,AV$2,financialYear,AV$1,transactionType,"Revaluation")</f>
        <v>0</v>
      </c>
      <c r="AW19" s="16">
        <f>sumifs(taxImpact,assetLookUp,$A19,financialMonth,AV$2,financialYear,AV$1,transactionType,"Acquisition")</f>
        <v>0</v>
      </c>
      <c r="AX19" s="16">
        <f>sumifs(taxImpact,assetLookUp,$A19,financialMonth,AV$2,financialYear,AV$1,transactionType,"Disposal")</f>
        <v>0</v>
      </c>
      <c r="AY19" s="16">
        <f t="array" ref="AY19">-sum(AU19:AX19)*index(depnRateTax,match($A19,assetLookUp,0),)</f>
        <v>-20845.52517</v>
      </c>
      <c r="AZ19" s="16">
        <f t="shared" si="27"/>
        <v>118124.6426</v>
      </c>
      <c r="BA19" s="16">
        <f>sumifs(taxImpact,assetLookUp,$A19,financialMonth,BA$2,financialYear,BA$1,transactionType,"Revaluation")</f>
        <v>0</v>
      </c>
      <c r="BB19" s="16">
        <f>sumifs(taxImpact,assetLookUp,$A19,financialMonth,BA$2,financialYear,BA$1,transactionType,"Acquisition")</f>
        <v>0</v>
      </c>
      <c r="BC19" s="16">
        <f>sumifs(taxImpact,assetLookUp,$A19,financialMonth,BA$2,financialYear,BA$1,transactionType,"Disposal")</f>
        <v>0</v>
      </c>
      <c r="BD19" s="16">
        <f t="array" ref="BD19">-sum(AZ19:BC19)*index(depnRateTax,match($A19,assetLookUp,0),)</f>
        <v>-17718.69639</v>
      </c>
      <c r="BE19" s="16">
        <f t="shared" si="28"/>
        <v>100405.9462</v>
      </c>
      <c r="BF19" s="16">
        <f>sumifs(taxImpact,assetLookUp,$A19,financialMonth,BF$2,financialYear,BF$1,transactionType,"Revaluation")</f>
        <v>0</v>
      </c>
      <c r="BG19" s="16">
        <f>sumifs(taxImpact,assetLookUp,$A19,financialMonth,BF$2,financialYear,BF$1,transactionType,"Acquisition")</f>
        <v>0</v>
      </c>
      <c r="BH19" s="16">
        <f>sumifs(taxImpact,assetLookUp,$A19,financialMonth,BF$2,financialYear,BF$1,transactionType,"Disposal")</f>
        <v>0</v>
      </c>
      <c r="BI19" s="16">
        <f t="array" ref="BI19">-sum(BE19:BH19)*index(depnRateTax,match($A19,assetLookUp,0),)</f>
        <v>-15060.89193</v>
      </c>
      <c r="BJ19" s="4" t="str">
        <f t="array" ref="BJ19">index(assetClass,match($A19,assetLookUp,0))</f>
        <v>Building fitout</v>
      </c>
      <c r="BK19" s="16">
        <f t="shared" si="29"/>
        <v>0</v>
      </c>
      <c r="BL19" s="16">
        <f t="shared" si="30"/>
        <v>0</v>
      </c>
      <c r="BM19" s="16">
        <f t="shared" si="31"/>
        <v>600000</v>
      </c>
      <c r="BN19" s="16">
        <f t="shared" si="32"/>
        <v>0</v>
      </c>
      <c r="BO19" s="16">
        <f t="shared" si="33"/>
        <v>-514654.9457</v>
      </c>
      <c r="BP19" s="16">
        <f t="shared" si="34"/>
        <v>85345.05428</v>
      </c>
    </row>
    <row r="20">
      <c r="A20" s="2" t="s">
        <v>27</v>
      </c>
      <c r="B20" s="15">
        <v>0.0</v>
      </c>
      <c r="C20" s="16">
        <f>sumifs(taxImpact,assetLookUp,$A20,financialMonth,C$2,financialYear,C$1,transactionType,"Revaluation")</f>
        <v>0</v>
      </c>
      <c r="D20" s="16">
        <f>sumifs(taxImpact,assetLookUp,$A20,financialMonth,C$2,financialYear,C$1,transactionType,"Acquisition")</f>
        <v>0</v>
      </c>
      <c r="E20" s="16">
        <f>sumifs(taxImpact,assetLookUp,$A20,financialMonth,C$2,financialYear,C$1,transactionType,"Disposal")</f>
        <v>0</v>
      </c>
      <c r="F20" s="16">
        <f t="array" ref="F20">-sum(B20:E20)*index(depnRateTax,match($A20,assetLookUp,0),)</f>
        <v>0</v>
      </c>
      <c r="G20" s="16">
        <f t="shared" si="18"/>
        <v>0</v>
      </c>
      <c r="H20" s="16">
        <f>sumifs(taxImpact,assetLookUp,$A20,financialMonth,H$2,financialYear,H$1,transactionType,"Revaluation")</f>
        <v>0</v>
      </c>
      <c r="I20" s="16">
        <f>sumifs(taxImpact,assetLookUp,$A20,financialMonth,H$2,financialYear,H$1,transactionType,"Acquisition")</f>
        <v>0</v>
      </c>
      <c r="J20" s="16">
        <f>sumifs(taxImpact,assetLookUp,$A20,financialMonth,H$2,financialYear,H$1,transactionType,"Disposal")</f>
        <v>0</v>
      </c>
      <c r="K20" s="16">
        <f t="array" ref="K20">-sum(G20:J20)*index(depnRateTax,match($A20,assetLookUp,0),)</f>
        <v>0</v>
      </c>
      <c r="L20" s="16">
        <f t="shared" si="19"/>
        <v>0</v>
      </c>
      <c r="M20" s="16">
        <f>sumifs(taxImpact,assetLookUp,$A20,financialMonth,M$2,financialYear,M$1,transactionType,"Revaluation")</f>
        <v>0</v>
      </c>
      <c r="N20" s="16">
        <f>sumifs(taxImpact,assetLookUp,$A20,financialMonth,M$2,financialYear,M$1,transactionType,"Acquisition")</f>
        <v>0</v>
      </c>
      <c r="O20" s="16">
        <f>sumifs(taxImpact,assetLookUp,$A20,financialMonth,M$2,financialYear,M$1,transactionType,"Disposal")</f>
        <v>0</v>
      </c>
      <c r="P20" s="16">
        <f t="array" ref="P20">-sum(L20:O20)*index(depnRateTax,match($A20,assetLookUp,0),)</f>
        <v>0</v>
      </c>
      <c r="Q20" s="16">
        <f t="shared" si="20"/>
        <v>0</v>
      </c>
      <c r="R20" s="16">
        <f>sumifs(taxImpact,assetLookUp,$A20,financialMonth,R$2,financialYear,R$1,transactionType,"Revaluation")</f>
        <v>0</v>
      </c>
      <c r="S20" s="16">
        <f>sumifs(taxImpact,assetLookUp,$A20,financialMonth,R$2,financialYear,R$1,transactionType,"Acquisition")</f>
        <v>0</v>
      </c>
      <c r="T20" s="16">
        <f>sumifs(taxImpact,assetLookUp,$A20,financialMonth,R$2,financialYear,R$1,transactionType,"Disposal")</f>
        <v>0</v>
      </c>
      <c r="U20" s="16">
        <f t="array" ref="U20">-sum(Q20:T20)*index(depnRateTax,match($A20,assetLookUp,0),)</f>
        <v>0</v>
      </c>
      <c r="V20" s="16">
        <f t="shared" si="21"/>
        <v>0</v>
      </c>
      <c r="W20" s="16">
        <f>sumifs(taxImpact,assetLookUp,$A20,financialMonth,W$2,financialYear,W$1,transactionType,"Revaluation")</f>
        <v>0</v>
      </c>
      <c r="X20" s="16">
        <f>sumifs(taxImpact,assetLookUp,$A20,financialMonth,W$2,financialYear,W$1,transactionType,"Acquisition")</f>
        <v>0</v>
      </c>
      <c r="Y20" s="16">
        <f>sumifs(taxImpact,assetLookUp,$A20,financialMonth,W$2,financialYear,W$1,transactionType,"Disposal")</f>
        <v>0</v>
      </c>
      <c r="Z20" s="16">
        <f t="array" ref="Z20">-sum(V20:Y20)*index(depnRateTax,match($A20,assetLookUp,0),)</f>
        <v>0</v>
      </c>
      <c r="AA20" s="16">
        <f t="shared" si="22"/>
        <v>0</v>
      </c>
      <c r="AB20" s="16">
        <f>sumifs(taxImpact,assetLookUp,$A20,financialMonth,AB$2,financialYear,AB$1,transactionType,"Revaluation")</f>
        <v>0</v>
      </c>
      <c r="AC20" s="16">
        <f>sumifs(taxImpact,assetLookUp,$A20,financialMonth,AB$2,financialYear,AB$1,transactionType,"Acquisition")</f>
        <v>0</v>
      </c>
      <c r="AD20" s="16">
        <f>sumifs(taxImpact,assetLookUp,$A20,financialMonth,AB$2,financialYear,AB$1,transactionType,"Disposal")</f>
        <v>0</v>
      </c>
      <c r="AE20" s="16">
        <f t="array" ref="AE20">-sum(AA20:AD20)*index(depnRateTax,match($A20,assetLookUp,0),)</f>
        <v>0</v>
      </c>
      <c r="AF20" s="16">
        <f t="shared" si="23"/>
        <v>0</v>
      </c>
      <c r="AG20" s="16">
        <f>sumifs(taxImpact,assetLookUp,$A20,financialMonth,AG$2,financialYear,AG$1,transactionType,"Revaluation")</f>
        <v>0</v>
      </c>
      <c r="AH20" s="16">
        <f>sumifs(taxImpact,assetLookUp,$A20,financialMonth,AG$2,financialYear,AG$1,transactionType,"Acquisition")</f>
        <v>0</v>
      </c>
      <c r="AI20" s="16">
        <f>sumifs(taxImpact,assetLookUp,$A20,financialMonth,AG$2,financialYear,AG$1,transactionType,"Disposal")</f>
        <v>0</v>
      </c>
      <c r="AJ20" s="16">
        <f t="array" ref="AJ20">-sum(AF20:AI20)*index(depnRateTax,match($A20,assetLookUp,0),)</f>
        <v>0</v>
      </c>
      <c r="AK20" s="16">
        <f t="shared" si="24"/>
        <v>0</v>
      </c>
      <c r="AL20" s="16">
        <f>sumifs(taxImpact,assetLookUp,$A20,financialMonth,AL$2,financialYear,AL$1,transactionType,"Revaluation")</f>
        <v>0</v>
      </c>
      <c r="AM20" s="16">
        <f>sumifs(taxImpact,assetLookUp,$A20,financialMonth,AL$2,financialYear,AL$1,transactionType,"Acquisition")</f>
        <v>0</v>
      </c>
      <c r="AN20" s="16">
        <f>sumifs(taxImpact,assetLookUp,$A20,financialMonth,AL$2,financialYear,AL$1,transactionType,"Disposal")</f>
        <v>0</v>
      </c>
      <c r="AO20" s="16">
        <f t="array" ref="AO20">-sum(AK20:AN20)*index(depnRateTax,match($A20,assetLookUp,0),)</f>
        <v>0</v>
      </c>
      <c r="AP20" s="16">
        <f t="shared" si="25"/>
        <v>0</v>
      </c>
      <c r="AQ20" s="16">
        <f>sumifs(taxImpact,assetLookUp,$A20,financialMonth,AQ$2,financialYear,AQ$1,transactionType,"Revaluation")</f>
        <v>0</v>
      </c>
      <c r="AR20" s="16">
        <f>sumifs(taxImpact,assetLookUp,$A20,financialMonth,AQ$2,financialYear,AQ$1,transactionType,"Acquisition")</f>
        <v>0</v>
      </c>
      <c r="AS20" s="16">
        <f>sumifs(taxImpact,assetLookUp,$A20,financialMonth,AQ$2,financialYear,AQ$1,transactionType,"Disposal")</f>
        <v>0</v>
      </c>
      <c r="AT20" s="16">
        <f t="array" ref="AT20">-sum(AP20:AS20)*index(depnRateTax,match($A20,assetLookUp,0),)</f>
        <v>0</v>
      </c>
      <c r="AU20" s="16">
        <f t="shared" si="26"/>
        <v>0</v>
      </c>
      <c r="AV20" s="16">
        <f>sumifs(taxImpact,assetLookUp,$A20,financialMonth,AV$2,financialYear,AV$1,transactionType,"Revaluation")</f>
        <v>0</v>
      </c>
      <c r="AW20" s="16">
        <f>sumifs(taxImpact,assetLookUp,$A20,financialMonth,AV$2,financialYear,AV$1,transactionType,"Acquisition")</f>
        <v>0</v>
      </c>
      <c r="AX20" s="16">
        <f>sumifs(taxImpact,assetLookUp,$A20,financialMonth,AV$2,financialYear,AV$1,transactionType,"Disposal")</f>
        <v>0</v>
      </c>
      <c r="AY20" s="16">
        <f t="array" ref="AY20">-sum(AU20:AX20)*index(depnRateTax,match($A20,assetLookUp,0),)</f>
        <v>0</v>
      </c>
      <c r="AZ20" s="16">
        <f t="shared" si="27"/>
        <v>0</v>
      </c>
      <c r="BA20" s="16">
        <f>sumifs(taxImpact,assetLookUp,$A20,financialMonth,BA$2,financialYear,BA$1,transactionType,"Revaluation")</f>
        <v>0</v>
      </c>
      <c r="BB20" s="16">
        <f>sumifs(taxImpact,assetLookUp,$A20,financialMonth,BA$2,financialYear,BA$1,transactionType,"Acquisition")</f>
        <v>0</v>
      </c>
      <c r="BC20" s="16">
        <f>sumifs(taxImpact,assetLookUp,$A20,financialMonth,BA$2,financialYear,BA$1,transactionType,"Disposal")</f>
        <v>0</v>
      </c>
      <c r="BD20" s="16">
        <f t="array" ref="BD20">-sum(AZ20:BC20)*index(depnRateTax,match($A20,assetLookUp,0),)</f>
        <v>0</v>
      </c>
      <c r="BE20" s="16">
        <f t="shared" si="28"/>
        <v>0</v>
      </c>
      <c r="BF20" s="16">
        <f>sumifs(taxImpact,assetLookUp,$A20,financialMonth,BF$2,financialYear,BF$1,transactionType,"Revaluation")</f>
        <v>0</v>
      </c>
      <c r="BG20" s="16">
        <f>sumifs(taxImpact,assetLookUp,$A20,financialMonth,BF$2,financialYear,BF$1,transactionType,"Acquisition")</f>
        <v>0</v>
      </c>
      <c r="BH20" s="16">
        <f>sumifs(taxImpact,assetLookUp,$A20,financialMonth,BF$2,financialYear,BF$1,transactionType,"Disposal")</f>
        <v>0</v>
      </c>
      <c r="BI20" s="16">
        <f t="array" ref="BI20">-sum(BE20:BH20)*index(depnRateTax,match($A20,assetLookUp,0),)</f>
        <v>0</v>
      </c>
      <c r="BJ20" s="4" t="str">
        <f t="array" ref="BJ20">index(assetClass,match($A20,assetLookUp,0))</f>
        <v>Vehicles</v>
      </c>
      <c r="BK20" s="16">
        <f t="shared" si="29"/>
        <v>0</v>
      </c>
      <c r="BL20" s="16">
        <f t="shared" si="30"/>
        <v>0</v>
      </c>
      <c r="BM20" s="16">
        <f t="shared" si="31"/>
        <v>0</v>
      </c>
      <c r="BN20" s="16">
        <f t="shared" si="32"/>
        <v>0</v>
      </c>
      <c r="BO20" s="16">
        <f t="shared" si="33"/>
        <v>0</v>
      </c>
      <c r="BP20" s="16">
        <f t="shared" si="34"/>
        <v>0</v>
      </c>
    </row>
    <row r="21">
      <c r="A21" s="2" t="s">
        <v>30</v>
      </c>
      <c r="B21" s="15">
        <v>0.0</v>
      </c>
      <c r="C21" s="16">
        <f>sumifs(taxImpact,assetLookUp,$A21,financialMonth,C$2,financialYear,C$1,transactionType,"Revaluation")</f>
        <v>0</v>
      </c>
      <c r="D21" s="16">
        <f>sumifs(taxImpact,assetLookUp,$A21,financialMonth,C$2,financialYear,C$1,transactionType,"Acquisition")</f>
        <v>0</v>
      </c>
      <c r="E21" s="16">
        <f>sumifs(taxImpact,assetLookUp,$A21,financialMonth,C$2,financialYear,C$1,transactionType,"Disposal")</f>
        <v>0</v>
      </c>
      <c r="F21" s="16">
        <f t="array" ref="F21">-sum(B21:E21)*index(depnRateTax,match($A21,assetLookUp,0),)</f>
        <v>0</v>
      </c>
      <c r="G21" s="16">
        <f t="shared" si="18"/>
        <v>0</v>
      </c>
      <c r="H21" s="16">
        <f>sumifs(taxImpact,assetLookUp,$A21,financialMonth,H$2,financialYear,H$1,transactionType,"Revaluation")</f>
        <v>0</v>
      </c>
      <c r="I21" s="16">
        <f>sumifs(taxImpact,assetLookUp,$A21,financialMonth,H$2,financialYear,H$1,transactionType,"Acquisition")</f>
        <v>0</v>
      </c>
      <c r="J21" s="16">
        <f>sumifs(taxImpact,assetLookUp,$A21,financialMonth,H$2,financialYear,H$1,transactionType,"Disposal")</f>
        <v>0</v>
      </c>
      <c r="K21" s="16">
        <f t="array" ref="K21">-sum(G21:J21)*index(depnRateTax,match($A21,assetLookUp,0),)</f>
        <v>0</v>
      </c>
      <c r="L21" s="16">
        <f t="shared" si="19"/>
        <v>0</v>
      </c>
      <c r="M21" s="16">
        <f>sumifs(taxImpact,assetLookUp,$A21,financialMonth,M$2,financialYear,M$1,transactionType,"Revaluation")</f>
        <v>0</v>
      </c>
      <c r="N21" s="16">
        <f>sumifs(taxImpact,assetLookUp,$A21,financialMonth,M$2,financialYear,M$1,transactionType,"Acquisition")</f>
        <v>0</v>
      </c>
      <c r="O21" s="16">
        <f>sumifs(taxImpact,assetLookUp,$A21,financialMonth,M$2,financialYear,M$1,transactionType,"Disposal")</f>
        <v>0</v>
      </c>
      <c r="P21" s="16">
        <f t="array" ref="P21">-sum(L21:O21)*index(depnRateTax,match($A21,assetLookUp,0),)</f>
        <v>0</v>
      </c>
      <c r="Q21" s="16">
        <f t="shared" si="20"/>
        <v>0</v>
      </c>
      <c r="R21" s="16">
        <f>sumifs(taxImpact,assetLookUp,$A21,financialMonth,R$2,financialYear,R$1,transactionType,"Revaluation")</f>
        <v>0</v>
      </c>
      <c r="S21" s="16">
        <f>sumifs(taxImpact,assetLookUp,$A21,financialMonth,R$2,financialYear,R$1,transactionType,"Acquisition")</f>
        <v>0</v>
      </c>
      <c r="T21" s="16">
        <f>sumifs(taxImpact,assetLookUp,$A21,financialMonth,R$2,financialYear,R$1,transactionType,"Disposal")</f>
        <v>0</v>
      </c>
      <c r="U21" s="16">
        <f t="array" ref="U21">-sum(Q21:T21)*index(depnRateTax,match($A21,assetLookUp,0),)</f>
        <v>0</v>
      </c>
      <c r="V21" s="16">
        <f t="shared" si="21"/>
        <v>0</v>
      </c>
      <c r="W21" s="16">
        <f>sumifs(taxImpact,assetLookUp,$A21,financialMonth,W$2,financialYear,W$1,transactionType,"Revaluation")</f>
        <v>0</v>
      </c>
      <c r="X21" s="16">
        <f>sumifs(taxImpact,assetLookUp,$A21,financialMonth,W$2,financialYear,W$1,transactionType,"Acquisition")</f>
        <v>0</v>
      </c>
      <c r="Y21" s="16">
        <f>sumifs(taxImpact,assetLookUp,$A21,financialMonth,W$2,financialYear,W$1,transactionType,"Disposal")</f>
        <v>0</v>
      </c>
      <c r="Z21" s="16">
        <f t="array" ref="Z21">-sum(V21:Y21)*index(depnRateTax,match($A21,assetLookUp,0),)</f>
        <v>0</v>
      </c>
      <c r="AA21" s="16">
        <f t="shared" si="22"/>
        <v>0</v>
      </c>
      <c r="AB21" s="16">
        <f>sumifs(taxImpact,assetLookUp,$A21,financialMonth,AB$2,financialYear,AB$1,transactionType,"Revaluation")</f>
        <v>0</v>
      </c>
      <c r="AC21" s="16">
        <f>sumifs(taxImpact,assetLookUp,$A21,financialMonth,AB$2,financialYear,AB$1,transactionType,"Acquisition")</f>
        <v>16000</v>
      </c>
      <c r="AD21" s="16">
        <f>sumifs(taxImpact,assetLookUp,$A21,financialMonth,AB$2,financialYear,AB$1,transactionType,"Disposal")</f>
        <v>0</v>
      </c>
      <c r="AE21" s="16">
        <f t="array" ref="AE21">-sum(AA21:AD21)*index(depnRateTax,match($A21,assetLookUp,0),)</f>
        <v>-9600</v>
      </c>
      <c r="AF21" s="16">
        <f t="shared" si="23"/>
        <v>6400</v>
      </c>
      <c r="AG21" s="16">
        <f>sumifs(taxImpact,assetLookUp,$A21,financialMonth,AG$2,financialYear,AG$1,transactionType,"Revaluation")</f>
        <v>0</v>
      </c>
      <c r="AH21" s="16">
        <f>sumifs(taxImpact,assetLookUp,$A21,financialMonth,AG$2,financialYear,AG$1,transactionType,"Acquisition")</f>
        <v>0</v>
      </c>
      <c r="AI21" s="16">
        <f>sumifs(taxImpact,assetLookUp,$A21,financialMonth,AG$2,financialYear,AG$1,transactionType,"Disposal")</f>
        <v>0</v>
      </c>
      <c r="AJ21" s="16">
        <f t="array" ref="AJ21">-sum(AF21:AI21)*index(depnRateTax,match($A21,assetLookUp,0),)</f>
        <v>-3840</v>
      </c>
      <c r="AK21" s="16">
        <f t="shared" si="24"/>
        <v>2560</v>
      </c>
      <c r="AL21" s="16">
        <f>sumifs(taxImpact,assetLookUp,$A21,financialMonth,AL$2,financialYear,AL$1,transactionType,"Revaluation")</f>
        <v>0</v>
      </c>
      <c r="AM21" s="16">
        <f>sumifs(taxImpact,assetLookUp,$A21,financialMonth,AL$2,financialYear,AL$1,transactionType,"Acquisition")</f>
        <v>0</v>
      </c>
      <c r="AN21" s="16">
        <f>sumifs(taxImpact,assetLookUp,$A21,financialMonth,AL$2,financialYear,AL$1,transactionType,"Disposal")</f>
        <v>0</v>
      </c>
      <c r="AO21" s="16">
        <f t="array" ref="AO21">-sum(AK21:AN21)*index(depnRateTax,match($A21,assetLookUp,0),)</f>
        <v>-1536</v>
      </c>
      <c r="AP21" s="16">
        <f t="shared" si="25"/>
        <v>1024</v>
      </c>
      <c r="AQ21" s="16">
        <f>sumifs(taxImpact,assetLookUp,$A21,financialMonth,AQ$2,financialYear,AQ$1,transactionType,"Revaluation")</f>
        <v>0</v>
      </c>
      <c r="AR21" s="16">
        <f>sumifs(taxImpact,assetLookUp,$A21,financialMonth,AQ$2,financialYear,AQ$1,transactionType,"Acquisition")</f>
        <v>0</v>
      </c>
      <c r="AS21" s="16">
        <f>sumifs(taxImpact,assetLookUp,$A21,financialMonth,AQ$2,financialYear,AQ$1,transactionType,"Disposal")</f>
        <v>0</v>
      </c>
      <c r="AT21" s="16">
        <f t="array" ref="AT21">-sum(AP21:AS21)*index(depnRateTax,match($A21,assetLookUp,0),)</f>
        <v>-614.4</v>
      </c>
      <c r="AU21" s="16">
        <f t="shared" si="26"/>
        <v>409.6</v>
      </c>
      <c r="AV21" s="16">
        <f>sumifs(taxImpact,assetLookUp,$A21,financialMonth,AV$2,financialYear,AV$1,transactionType,"Revaluation")</f>
        <v>0</v>
      </c>
      <c r="AW21" s="16">
        <f>sumifs(taxImpact,assetLookUp,$A21,financialMonth,AV$2,financialYear,AV$1,transactionType,"Acquisition")</f>
        <v>0</v>
      </c>
      <c r="AX21" s="16">
        <f>sumifs(taxImpact,assetLookUp,$A21,financialMonth,AV$2,financialYear,AV$1,transactionType,"Disposal")</f>
        <v>0</v>
      </c>
      <c r="AY21" s="16">
        <f t="array" ref="AY21">-sum(AU21:AX21)*index(depnRateTax,match($A21,assetLookUp,0),)</f>
        <v>-245.76</v>
      </c>
      <c r="AZ21" s="16">
        <f t="shared" si="27"/>
        <v>163.84</v>
      </c>
      <c r="BA21" s="16">
        <f>sumifs(taxImpact,assetLookUp,$A21,financialMonth,BA$2,financialYear,BA$1,transactionType,"Revaluation")</f>
        <v>0</v>
      </c>
      <c r="BB21" s="16">
        <f>sumifs(taxImpact,assetLookUp,$A21,financialMonth,BA$2,financialYear,BA$1,transactionType,"Acquisition")</f>
        <v>0</v>
      </c>
      <c r="BC21" s="16">
        <f>sumifs(taxImpact,assetLookUp,$A21,financialMonth,BA$2,financialYear,BA$1,transactionType,"Disposal")</f>
        <v>0</v>
      </c>
      <c r="BD21" s="16">
        <f t="array" ref="BD21">-sum(AZ21:BC21)*index(depnRateTax,match($A21,assetLookUp,0),)</f>
        <v>-98.304</v>
      </c>
      <c r="BE21" s="16">
        <f t="shared" si="28"/>
        <v>65.536</v>
      </c>
      <c r="BF21" s="16">
        <f>sumifs(taxImpact,assetLookUp,$A21,financialMonth,BF$2,financialYear,BF$1,transactionType,"Revaluation")</f>
        <v>0</v>
      </c>
      <c r="BG21" s="16">
        <f>sumifs(taxImpact,assetLookUp,$A21,financialMonth,BF$2,financialYear,BF$1,transactionType,"Acquisition")</f>
        <v>0</v>
      </c>
      <c r="BH21" s="16">
        <f>sumifs(taxImpact,assetLookUp,$A21,financialMonth,BF$2,financialYear,BF$1,transactionType,"Disposal")</f>
        <v>0</v>
      </c>
      <c r="BI21" s="16">
        <f t="array" ref="BI21">-sum(BE21:BH21)*index(depnRateTax,match($A21,assetLookUp,0),)</f>
        <v>-39.3216</v>
      </c>
      <c r="BJ21" s="4" t="str">
        <f t="array" ref="BJ21">index(assetClass,match($A21,assetLookUp,0))</f>
        <v>Computer software</v>
      </c>
      <c r="BK21" s="16">
        <f t="shared" si="29"/>
        <v>0</v>
      </c>
      <c r="BL21" s="16">
        <f t="shared" si="30"/>
        <v>0</v>
      </c>
      <c r="BM21" s="16">
        <f t="shared" si="31"/>
        <v>16000</v>
      </c>
      <c r="BN21" s="16">
        <f t="shared" si="32"/>
        <v>0</v>
      </c>
      <c r="BO21" s="16">
        <f t="shared" si="33"/>
        <v>-15973.7856</v>
      </c>
      <c r="BP21" s="16">
        <f t="shared" si="34"/>
        <v>26.2144</v>
      </c>
    </row>
    <row r="22">
      <c r="A22" s="2" t="s">
        <v>33</v>
      </c>
      <c r="B22" s="15">
        <v>0.0</v>
      </c>
      <c r="C22" s="16">
        <f>sumifs(taxImpact,assetLookUp,$A22,financialMonth,C$2,financialYear,C$1,transactionType,"Revaluation")</f>
        <v>0</v>
      </c>
      <c r="D22" s="16">
        <f>sumifs(taxImpact,assetLookUp,$A22,financialMonth,C$2,financialYear,C$1,transactionType,"Acquisition")</f>
        <v>0</v>
      </c>
      <c r="E22" s="16">
        <f>sumifs(taxImpact,assetLookUp,$A22,financialMonth,C$2,financialYear,C$1,transactionType,"Disposal")</f>
        <v>0</v>
      </c>
      <c r="F22" s="16">
        <f t="array" ref="F22">-sum(B22:E22)*index(depnRateTax,match($A22,assetLookUp,0),)</f>
        <v>0</v>
      </c>
      <c r="G22" s="16">
        <f t="shared" si="18"/>
        <v>0</v>
      </c>
      <c r="H22" s="16">
        <f>sumifs(taxImpact,assetLookUp,$A22,financialMonth,H$2,financialYear,H$1,transactionType,"Revaluation")</f>
        <v>0</v>
      </c>
      <c r="I22" s="16">
        <f>sumifs(taxImpact,assetLookUp,$A22,financialMonth,H$2,financialYear,H$1,transactionType,"Acquisition")</f>
        <v>0</v>
      </c>
      <c r="J22" s="16">
        <f>sumifs(taxImpact,assetLookUp,$A22,financialMonth,H$2,financialYear,H$1,transactionType,"Disposal")</f>
        <v>0</v>
      </c>
      <c r="K22" s="16">
        <f t="array" ref="K22">-sum(G22:J22)*index(depnRateTax,match($A22,assetLookUp,0),)</f>
        <v>0</v>
      </c>
      <c r="L22" s="16">
        <f t="shared" si="19"/>
        <v>0</v>
      </c>
      <c r="M22" s="16">
        <f>sumifs(taxImpact,assetLookUp,$A22,financialMonth,M$2,financialYear,M$1,transactionType,"Revaluation")</f>
        <v>0</v>
      </c>
      <c r="N22" s="16">
        <f>sumifs(taxImpact,assetLookUp,$A22,financialMonth,M$2,financialYear,M$1,transactionType,"Acquisition")</f>
        <v>0</v>
      </c>
      <c r="O22" s="16">
        <f>sumifs(taxImpact,assetLookUp,$A22,financialMonth,M$2,financialYear,M$1,transactionType,"Disposal")</f>
        <v>0</v>
      </c>
      <c r="P22" s="16">
        <f t="array" ref="P22">-sum(L22:O22)*index(depnRateTax,match($A22,assetLookUp,0),)</f>
        <v>0</v>
      </c>
      <c r="Q22" s="16">
        <f t="shared" si="20"/>
        <v>0</v>
      </c>
      <c r="R22" s="16">
        <f>sumifs(taxImpact,assetLookUp,$A22,financialMonth,R$2,financialYear,R$1,transactionType,"Revaluation")</f>
        <v>0</v>
      </c>
      <c r="S22" s="16">
        <f>sumifs(taxImpact,assetLookUp,$A22,financialMonth,R$2,financialYear,R$1,transactionType,"Acquisition")</f>
        <v>0</v>
      </c>
      <c r="T22" s="16">
        <f>sumifs(taxImpact,assetLookUp,$A22,financialMonth,R$2,financialYear,R$1,transactionType,"Disposal")</f>
        <v>0</v>
      </c>
      <c r="U22" s="16">
        <f t="array" ref="U22">-sum(Q22:T22)*index(depnRateTax,match($A22,assetLookUp,0),)</f>
        <v>0</v>
      </c>
      <c r="V22" s="16">
        <f t="shared" si="21"/>
        <v>0</v>
      </c>
      <c r="W22" s="16">
        <f>sumifs(taxImpact,assetLookUp,$A22,financialMonth,W$2,financialYear,W$1,transactionType,"Revaluation")</f>
        <v>0</v>
      </c>
      <c r="X22" s="16">
        <f>sumifs(taxImpact,assetLookUp,$A22,financialMonth,W$2,financialYear,W$1,transactionType,"Acquisition")</f>
        <v>0</v>
      </c>
      <c r="Y22" s="16">
        <f>sumifs(taxImpact,assetLookUp,$A22,financialMonth,W$2,financialYear,W$1,transactionType,"Disposal")</f>
        <v>0</v>
      </c>
      <c r="Z22" s="16">
        <f t="array" ref="Z22">-sum(V22:Y22)*index(depnRateTax,match($A22,assetLookUp,0),)</f>
        <v>0</v>
      </c>
      <c r="AA22" s="16">
        <f t="shared" si="22"/>
        <v>0</v>
      </c>
      <c r="AB22" s="16">
        <f>sumifs(taxImpact,assetLookUp,$A22,financialMonth,AB$2,financialYear,AB$1,transactionType,"Revaluation")</f>
        <v>0</v>
      </c>
      <c r="AC22" s="16">
        <f>sumifs(taxImpact,assetLookUp,$A22,financialMonth,AB$2,financialYear,AB$1,transactionType,"Acquisition")</f>
        <v>0</v>
      </c>
      <c r="AD22" s="16">
        <f>sumifs(taxImpact,assetLookUp,$A22,financialMonth,AB$2,financialYear,AB$1,transactionType,"Disposal")</f>
        <v>0</v>
      </c>
      <c r="AE22" s="16">
        <f t="array" ref="AE22">-sum(AA22:AD22)*index(depnRateTax,match($A22,assetLookUp,0),)</f>
        <v>0</v>
      </c>
      <c r="AF22" s="16">
        <f t="shared" si="23"/>
        <v>0</v>
      </c>
      <c r="AG22" s="16">
        <f>sumifs(taxImpact,assetLookUp,$A22,financialMonth,AG$2,financialYear,AG$1,transactionType,"Revaluation")</f>
        <v>0</v>
      </c>
      <c r="AH22" s="16">
        <f>sumifs(taxImpact,assetLookUp,$A22,financialMonth,AG$2,financialYear,AG$1,transactionType,"Acquisition")</f>
        <v>0</v>
      </c>
      <c r="AI22" s="16">
        <f>sumifs(taxImpact,assetLookUp,$A22,financialMonth,AG$2,financialYear,AG$1,transactionType,"Disposal")</f>
        <v>0</v>
      </c>
      <c r="AJ22" s="16">
        <f t="array" ref="AJ22">-sum(AF22:AI22)*index(depnRateTax,match($A22,assetLookUp,0),)</f>
        <v>0</v>
      </c>
      <c r="AK22" s="16">
        <f t="shared" si="24"/>
        <v>0</v>
      </c>
      <c r="AL22" s="16">
        <f>sumifs(taxImpact,assetLookUp,$A22,financialMonth,AL$2,financialYear,AL$1,transactionType,"Revaluation")</f>
        <v>0</v>
      </c>
      <c r="AM22" s="16">
        <f>sumifs(taxImpact,assetLookUp,$A22,financialMonth,AL$2,financialYear,AL$1,transactionType,"Acquisition")</f>
        <v>0</v>
      </c>
      <c r="AN22" s="16">
        <f>sumifs(taxImpact,assetLookUp,$A22,financialMonth,AL$2,financialYear,AL$1,transactionType,"Disposal")</f>
        <v>0</v>
      </c>
      <c r="AO22" s="16">
        <f t="array" ref="AO22">-sum(AK22:AN22)*index(depnRateTax,match($A22,assetLookUp,0),)</f>
        <v>0</v>
      </c>
      <c r="AP22" s="16">
        <f t="shared" si="25"/>
        <v>0</v>
      </c>
      <c r="AQ22" s="16">
        <f>sumifs(taxImpact,assetLookUp,$A22,financialMonth,AQ$2,financialYear,AQ$1,transactionType,"Revaluation")</f>
        <v>0</v>
      </c>
      <c r="AR22" s="16">
        <f>sumifs(taxImpact,assetLookUp,$A22,financialMonth,AQ$2,financialYear,AQ$1,transactionType,"Acquisition")</f>
        <v>0</v>
      </c>
      <c r="AS22" s="16">
        <f>sumifs(taxImpact,assetLookUp,$A22,financialMonth,AQ$2,financialYear,AQ$1,transactionType,"Disposal")</f>
        <v>0</v>
      </c>
      <c r="AT22" s="16">
        <f t="array" ref="AT22">-sum(AP22:AS22)*index(depnRateTax,match($A22,assetLookUp,0),)</f>
        <v>0</v>
      </c>
      <c r="AU22" s="16">
        <f t="shared" si="26"/>
        <v>0</v>
      </c>
      <c r="AV22" s="16">
        <f>sumifs(taxImpact,assetLookUp,$A22,financialMonth,AV$2,financialYear,AV$1,transactionType,"Revaluation")</f>
        <v>0</v>
      </c>
      <c r="AW22" s="16">
        <f>sumifs(taxImpact,assetLookUp,$A22,financialMonth,AV$2,financialYear,AV$1,transactionType,"Acquisition")</f>
        <v>0</v>
      </c>
      <c r="AX22" s="16">
        <f>sumifs(taxImpact,assetLookUp,$A22,financialMonth,AV$2,financialYear,AV$1,transactionType,"Disposal")</f>
        <v>0</v>
      </c>
      <c r="AY22" s="16">
        <f t="array" ref="AY22">-sum(AU22:AX22)*index(depnRateTax,match($A22,assetLookUp,0),)</f>
        <v>0</v>
      </c>
      <c r="AZ22" s="16">
        <f t="shared" si="27"/>
        <v>0</v>
      </c>
      <c r="BA22" s="16">
        <f>sumifs(taxImpact,assetLookUp,$A22,financialMonth,BA$2,financialYear,BA$1,transactionType,"Revaluation")</f>
        <v>0</v>
      </c>
      <c r="BB22" s="16">
        <f>sumifs(taxImpact,assetLookUp,$A22,financialMonth,BA$2,financialYear,BA$1,transactionType,"Acquisition")</f>
        <v>0</v>
      </c>
      <c r="BC22" s="16">
        <f>sumifs(taxImpact,assetLookUp,$A22,financialMonth,BA$2,financialYear,BA$1,transactionType,"Disposal")</f>
        <v>0</v>
      </c>
      <c r="BD22" s="16">
        <f t="array" ref="BD22">-sum(AZ22:BC22)*index(depnRateTax,match($A22,assetLookUp,0),)</f>
        <v>0</v>
      </c>
      <c r="BE22" s="16">
        <f t="shared" si="28"/>
        <v>0</v>
      </c>
      <c r="BF22" s="16">
        <f>sumifs(taxImpact,assetLookUp,$A22,financialMonth,BF$2,financialYear,BF$1,transactionType,"Revaluation")</f>
        <v>0</v>
      </c>
      <c r="BG22" s="16">
        <f>sumifs(taxImpact,assetLookUp,$A22,financialMonth,BF$2,financialYear,BF$1,transactionType,"Acquisition")</f>
        <v>0</v>
      </c>
      <c r="BH22" s="16">
        <f>sumifs(taxImpact,assetLookUp,$A22,financialMonth,BF$2,financialYear,BF$1,transactionType,"Disposal")</f>
        <v>0</v>
      </c>
      <c r="BI22" s="16">
        <f t="array" ref="BI22">-sum(BE22:BH22)*index(depnRateTax,match($A22,assetLookUp,0),)</f>
        <v>0</v>
      </c>
      <c r="BJ22" s="4" t="str">
        <f t="array" ref="BJ22">index(assetClass,match($A22,assetLookUp,0))</f>
        <v>Plant and equipment</v>
      </c>
      <c r="BK22" s="16">
        <f t="shared" si="29"/>
        <v>0</v>
      </c>
      <c r="BL22" s="16">
        <f t="shared" si="30"/>
        <v>0</v>
      </c>
      <c r="BM22" s="16">
        <f t="shared" si="31"/>
        <v>0</v>
      </c>
      <c r="BN22" s="16">
        <f t="shared" si="32"/>
        <v>0</v>
      </c>
      <c r="BO22" s="16">
        <f t="shared" si="33"/>
        <v>0</v>
      </c>
      <c r="BP22" s="16">
        <f t="shared" si="34"/>
        <v>0</v>
      </c>
    </row>
    <row r="23">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row>
    <row r="24">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c r="AJ24" s="16"/>
      <c r="AK24" s="16"/>
      <c r="AL24" s="16"/>
      <c r="AM24" s="16"/>
      <c r="AN24" s="16"/>
      <c r="AO24" s="16"/>
      <c r="AP24" s="16"/>
      <c r="AQ24" s="16"/>
      <c r="AR24" s="16"/>
      <c r="AS24" s="16"/>
      <c r="AT24" s="16"/>
      <c r="AU24" s="16"/>
      <c r="AV24" s="16"/>
      <c r="AW24" s="16"/>
      <c r="AX24" s="16"/>
      <c r="AY24" s="16"/>
      <c r="AZ24" s="16"/>
      <c r="BA24" s="16"/>
      <c r="BB24" s="16"/>
      <c r="BC24" s="16"/>
      <c r="BD24" s="16"/>
      <c r="BE24" s="16"/>
      <c r="BF24" s="16"/>
      <c r="BG24" s="16"/>
      <c r="BH24" s="16"/>
      <c r="BI24" s="16"/>
    </row>
    <row r="25">
      <c r="C25" s="16"/>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c r="AK25" s="16"/>
      <c r="AL25" s="16"/>
      <c r="AM25" s="16"/>
      <c r="AN25" s="16"/>
      <c r="AO25" s="16"/>
      <c r="AP25" s="16"/>
      <c r="AQ25" s="16"/>
      <c r="AR25" s="16"/>
      <c r="AS25" s="16"/>
      <c r="AT25" s="16"/>
      <c r="AU25" s="16"/>
      <c r="AV25" s="16"/>
      <c r="AW25" s="16"/>
      <c r="AX25" s="16"/>
      <c r="AY25" s="16"/>
      <c r="AZ25" s="16"/>
      <c r="BA25" s="16"/>
      <c r="BB25" s="16"/>
      <c r="BC25" s="16"/>
      <c r="BD25" s="16"/>
      <c r="BE25" s="16"/>
      <c r="BF25" s="16"/>
      <c r="BG25" s="16"/>
      <c r="BH25" s="16"/>
      <c r="BI25" s="16"/>
    </row>
  </sheetData>
  <mergeCells count="28">
    <mergeCell ref="AF3:AJ3"/>
    <mergeCell ref="AK3:AO3"/>
    <mergeCell ref="AP3:AT3"/>
    <mergeCell ref="AU3:AY3"/>
    <mergeCell ref="AZ3:BD3"/>
    <mergeCell ref="BE3:BI3"/>
    <mergeCell ref="BJ3:BJ4"/>
    <mergeCell ref="A3:A4"/>
    <mergeCell ref="B3:F3"/>
    <mergeCell ref="G3:K3"/>
    <mergeCell ref="L3:P3"/>
    <mergeCell ref="Q3:U3"/>
    <mergeCell ref="V3:Z3"/>
    <mergeCell ref="AA3:AE3"/>
    <mergeCell ref="AF15:AJ15"/>
    <mergeCell ref="AK15:AO15"/>
    <mergeCell ref="AP15:AT15"/>
    <mergeCell ref="AU15:AY15"/>
    <mergeCell ref="AZ15:BD15"/>
    <mergeCell ref="BE15:BI15"/>
    <mergeCell ref="BJ15:BJ16"/>
    <mergeCell ref="A15:A16"/>
    <mergeCell ref="B15:F15"/>
    <mergeCell ref="G15:K15"/>
    <mergeCell ref="L15:P15"/>
    <mergeCell ref="Q15:U15"/>
    <mergeCell ref="V15:Z15"/>
    <mergeCell ref="AA15:AE15"/>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38"/>
    <col customWidth="1" min="3" max="3" width="18.0"/>
    <col customWidth="1" min="8" max="8" width="15.25"/>
  </cols>
  <sheetData>
    <row r="1">
      <c r="A1" s="18" t="s">
        <v>76</v>
      </c>
    </row>
    <row r="2">
      <c r="A2" s="19" t="s">
        <v>77</v>
      </c>
    </row>
    <row r="3">
      <c r="A3" s="19" t="s">
        <v>78</v>
      </c>
    </row>
    <row r="5">
      <c r="A5" s="13" t="s">
        <v>79</v>
      </c>
    </row>
    <row r="7">
      <c r="C7" s="1" t="s">
        <v>80</v>
      </c>
      <c r="D7" s="1" t="s">
        <v>81</v>
      </c>
      <c r="E7" s="1" t="s">
        <v>82</v>
      </c>
      <c r="F7" s="1" t="s">
        <v>65</v>
      </c>
      <c r="G7" s="1" t="s">
        <v>83</v>
      </c>
      <c r="H7" s="1" t="s">
        <v>84</v>
      </c>
    </row>
    <row r="8">
      <c r="A8" s="1" t="s">
        <v>85</v>
      </c>
      <c r="C8" s="16">
        <f>sumif('FY24 working'!$BJ$5:$BJ$10,"*Land*",'FY24 working'!BK$5:BK$10)</f>
        <v>0</v>
      </c>
      <c r="D8" s="16">
        <f>sumif('FY24 working'!$BJ$5:$BJ$10,"*Land*",'FY24 working'!BL$5:BL$10)</f>
        <v>0</v>
      </c>
      <c r="E8" s="16">
        <f>sumif('FY24 working'!$BJ$5:$BJ$10,"*Land*",'FY24 working'!BM$5:BM$10)</f>
        <v>5000000</v>
      </c>
      <c r="F8" s="16">
        <f>sumif('FY24 working'!$BJ$5:$BJ$10,"*Land*",'FY24 working'!BN$5:BN$10)</f>
        <v>0</v>
      </c>
      <c r="G8" s="16">
        <f>sumif('FY24 working'!$BJ$5:$BJ$10,"*Land*",'FY24 working'!BO$5:BO$10)</f>
        <v>0</v>
      </c>
      <c r="H8" s="16">
        <f>sumif('FY24 working'!$BJ$5:$BJ$10,"*Land*",'FY24 working'!BP$5:BP$10)</f>
        <v>5000000</v>
      </c>
    </row>
    <row r="9">
      <c r="C9" s="16"/>
      <c r="D9" s="16"/>
      <c r="E9" s="16"/>
      <c r="F9" s="16"/>
      <c r="G9" s="16"/>
      <c r="H9" s="16"/>
    </row>
    <row r="10">
      <c r="A10" s="1" t="s">
        <v>86</v>
      </c>
      <c r="C10" s="16">
        <f>sumif('FY24 working'!$BJ$5:$BJ$10,"*Building*",'FY24 working'!BK$5:BK$10)</f>
        <v>0</v>
      </c>
      <c r="D10" s="16">
        <f>sumif('FY24 working'!$BJ$5:$BJ$10,"*Building*",'FY24 working'!BL$5:BL$10)</f>
        <v>0</v>
      </c>
      <c r="E10" s="16">
        <f>sumif('FY24 working'!$BJ$5:$BJ$10,"*Building*",'FY24 working'!BM$5:BM$10)</f>
        <v>2600000</v>
      </c>
      <c r="F10" s="16">
        <f>sumif('FY24 working'!$BJ$5:$BJ$10,"*Building*",'FY24 working'!BN$5:BN$10)</f>
        <v>0</v>
      </c>
      <c r="G10" s="16">
        <f>sumif('FY24 working'!$BJ$5:$BJ$10,"*Building*",'FY24 working'!BO$5:BO$10)</f>
        <v>-989334.8665</v>
      </c>
      <c r="H10" s="16">
        <f>sumif('FY24 working'!$BJ$5:$BJ$10,"*Building*",'FY24 working'!BP$5:BP$10)</f>
        <v>1610665.134</v>
      </c>
    </row>
    <row r="11">
      <c r="C11" s="16"/>
      <c r="D11" s="16"/>
      <c r="E11" s="16"/>
      <c r="F11" s="16"/>
      <c r="G11" s="16"/>
      <c r="H11" s="16"/>
    </row>
    <row r="12">
      <c r="A12" s="1" t="s">
        <v>34</v>
      </c>
      <c r="C12" s="16">
        <f>sumif('FY24 working'!$BJ$5:$BJ$10,"*Plant and equipment*",'FY24 working'!BK$5:BK$10)</f>
        <v>0</v>
      </c>
      <c r="D12" s="16">
        <f>sumif('FY24 working'!$BJ$5:$BJ$10,"*Plant and equipment*",'FY24 working'!BL$5:BL$10)</f>
        <v>0</v>
      </c>
      <c r="E12" s="16">
        <f>sumif('FY24 working'!$BJ$5:$BJ$10,"*Plant and equipment*",'FY24 working'!BM$5:BM$10)</f>
        <v>800</v>
      </c>
      <c r="F12" s="16">
        <f>sumif('FY24 working'!$BJ$5:$BJ$10,"*Plant and equipment*",'FY24 working'!BN$5:BN$10)</f>
        <v>0</v>
      </c>
      <c r="G12" s="16">
        <f>sumif('FY24 working'!$BJ$5:$BJ$10,"*Plant and equipment*",'FY24 working'!BO$5:BO$10)</f>
        <v>-700</v>
      </c>
      <c r="H12" s="16">
        <f>sumif('FY24 working'!$BJ$5:$BJ$10,"*Plant and equipment*",'FY24 working'!BP$5:BP$10)</f>
        <v>100</v>
      </c>
    </row>
    <row r="13">
      <c r="C13" s="16"/>
      <c r="D13" s="16"/>
      <c r="E13" s="16"/>
      <c r="F13" s="16"/>
      <c r="G13" s="16"/>
      <c r="H13" s="16"/>
    </row>
    <row r="14">
      <c r="A14" s="1" t="s">
        <v>28</v>
      </c>
      <c r="C14" s="16">
        <f>sumif('FY24 working'!$BJ$5:$BJ$10,"*Vehicles*",'FY24 working'!BK$5:BK$10)</f>
        <v>0</v>
      </c>
      <c r="D14" s="16">
        <f>sumif('FY24 working'!$BJ$5:$BJ$10,"*Vehicles*",'FY24 working'!BL$5:BL$10)</f>
        <v>0</v>
      </c>
      <c r="E14" s="16">
        <f>sumif('FY24 working'!$BJ$5:$BJ$10,"*Vehicles*",'FY24 working'!BM$5:BM$10)</f>
        <v>2500</v>
      </c>
      <c r="F14" s="16">
        <f>sumif('FY24 working'!$BJ$5:$BJ$10,"*Vehicles*",'FY24 working'!BN$5:BN$10)</f>
        <v>0</v>
      </c>
      <c r="G14" s="16">
        <f>sumif('FY24 working'!$BJ$5:$BJ$10,"*Vehicles*",'FY24 working'!BO$5:BO$10)</f>
        <v>-2429.381188</v>
      </c>
      <c r="H14" s="16">
        <f>sumif('FY24 working'!$BJ$5:$BJ$10,"*Vehicles*",'FY24 working'!BP$5:BP$10)</f>
        <v>70.61881225</v>
      </c>
    </row>
    <row r="15">
      <c r="C15" s="16"/>
      <c r="D15" s="16"/>
      <c r="E15" s="16"/>
      <c r="F15" s="16"/>
      <c r="G15" s="16"/>
      <c r="H15" s="16"/>
    </row>
    <row r="16">
      <c r="A16" s="1" t="s">
        <v>31</v>
      </c>
      <c r="C16" s="16">
        <f>sumif('FY24 working'!$BJ$5:$BJ$10,"*Computer software*",'FY24 working'!BK$5:BK$10)</f>
        <v>0</v>
      </c>
      <c r="D16" s="16">
        <f>sumif('FY24 working'!$BJ$5:$BJ$10,"*Computer software*",'FY24 working'!BL$5:BL$10)</f>
        <v>0</v>
      </c>
      <c r="E16" s="16">
        <f>sumif('FY24 working'!$BJ$5:$BJ$10,"*Computer software*",'FY24 working'!BM$5:BM$10)</f>
        <v>0</v>
      </c>
      <c r="F16" s="16">
        <f>sumif('FY24 working'!$BJ$5:$BJ$10,"*Computer software*",'FY24 working'!BN$5:BN$10)</f>
        <v>0</v>
      </c>
      <c r="G16" s="16">
        <f>sumif('FY24 working'!$BJ$5:$BJ$10,"*Computer software*",'FY24 working'!BO$5:BO$10)</f>
        <v>0</v>
      </c>
      <c r="H16" s="16">
        <f>sumif('FY24 working'!$BJ$5:$BJ$10,"*Computer software*",'FY24 working'!BP$5:BP$10)</f>
        <v>0</v>
      </c>
    </row>
    <row r="17">
      <c r="C17" s="16"/>
      <c r="D17" s="16"/>
      <c r="E17" s="16"/>
      <c r="F17" s="16"/>
      <c r="G17" s="16"/>
      <c r="H17" s="16"/>
    </row>
    <row r="18">
      <c r="C18" s="20">
        <f t="shared" ref="C18:H18" si="1">sum(C8:C16)</f>
        <v>0</v>
      </c>
      <c r="D18" s="20">
        <f t="shared" si="1"/>
        <v>0</v>
      </c>
      <c r="E18" s="20">
        <f t="shared" si="1"/>
        <v>7603300</v>
      </c>
      <c r="F18" s="20">
        <f t="shared" si="1"/>
        <v>0</v>
      </c>
      <c r="G18" s="20">
        <f t="shared" si="1"/>
        <v>-992464.2477</v>
      </c>
      <c r="H18" s="20">
        <f t="shared" si="1"/>
        <v>6610835.752</v>
      </c>
    </row>
    <row r="21">
      <c r="A21" s="13" t="s">
        <v>87</v>
      </c>
    </row>
    <row r="23">
      <c r="C23" s="1" t="s">
        <v>80</v>
      </c>
      <c r="D23" s="1" t="s">
        <v>81</v>
      </c>
      <c r="E23" s="1" t="s">
        <v>82</v>
      </c>
      <c r="F23" s="1" t="s">
        <v>65</v>
      </c>
      <c r="G23" s="1" t="s">
        <v>83</v>
      </c>
      <c r="H23" s="1" t="s">
        <v>84</v>
      </c>
    </row>
    <row r="24">
      <c r="A24" s="1" t="s">
        <v>85</v>
      </c>
      <c r="C24" s="16">
        <f>sumif('FY24 working'!$BJ$17:$BJ$22,"*Land*",'FY24 working'!BK$17:BK$22)</f>
        <v>0</v>
      </c>
      <c r="D24" s="16">
        <f>sumif('FY24 working'!$BJ$17:$BJ$22,"*Land*",'FY24 working'!BL$17:BL$22)</f>
        <v>0</v>
      </c>
      <c r="E24" s="16">
        <f>sumif('FY24 working'!$BJ$17:$BJ$22,"*Land*",'FY24 working'!BM$17:BM$22)</f>
        <v>5000000</v>
      </c>
      <c r="F24" s="16">
        <f>sumif('FY24 working'!$BJ$17:$BJ$22,"*Land*",'FY24 working'!BN$17:BN$22)</f>
        <v>0</v>
      </c>
      <c r="G24" s="16">
        <f>sumif('FY24 working'!$BJ$17:$BJ$22,"*Land*",'FY24 working'!BO$17:BO$22)</f>
        <v>0</v>
      </c>
      <c r="H24" s="16">
        <f>sumif('FY24 working'!$BJ$17:$BJ$22,"*Land*",'FY24 working'!BP$17:BP$22)</f>
        <v>5000000</v>
      </c>
    </row>
    <row r="25">
      <c r="C25" s="16"/>
      <c r="D25" s="16"/>
      <c r="E25" s="16"/>
      <c r="F25" s="16"/>
      <c r="G25" s="16"/>
      <c r="H25" s="16"/>
    </row>
    <row r="26">
      <c r="A26" s="1" t="s">
        <v>86</v>
      </c>
      <c r="C26" s="16">
        <f>sumif('FY24 working'!$BJ$17:$BJ$22,"*Building*",'FY24 working'!BK$17:BK$22)</f>
        <v>0</v>
      </c>
      <c r="D26" s="16">
        <f>sumif('FY24 working'!$BJ$17:$BJ$22,"*Building*",'FY24 working'!BL$17:BL$22)</f>
        <v>0</v>
      </c>
      <c r="E26" s="16">
        <f>sumif('FY24 working'!$BJ$17:$BJ$22,"*Building*",'FY24 working'!BM$17:BM$22)</f>
        <v>2600000</v>
      </c>
      <c r="F26" s="16">
        <f>sumif('FY24 working'!$BJ$17:$BJ$22,"*Building*",'FY24 working'!BN$17:BN$22)</f>
        <v>0</v>
      </c>
      <c r="G26" s="16">
        <f>sumif('FY24 working'!$BJ$17:$BJ$22,"*Building*",'FY24 working'!BO$17:BO$22)</f>
        <v>-514654.9457</v>
      </c>
      <c r="H26" s="16">
        <f>sumif('FY24 working'!$BJ$17:$BJ$22,"*Building*",'FY24 working'!BP$17:BP$22)</f>
        <v>2085345.054</v>
      </c>
    </row>
    <row r="27">
      <c r="C27" s="16"/>
      <c r="D27" s="16"/>
      <c r="E27" s="16"/>
      <c r="F27" s="16"/>
      <c r="G27" s="16"/>
      <c r="H27" s="16"/>
    </row>
    <row r="28">
      <c r="A28" s="1" t="s">
        <v>34</v>
      </c>
      <c r="C28" s="16">
        <f>sumif('FY24 working'!$BJ$17:$BJ$22,"*Plant and equipment*",'FY24 working'!BK$17:BK$22)</f>
        <v>0</v>
      </c>
      <c r="D28" s="16">
        <f>sumif('FY24 working'!$BJ$17:$BJ$22,"*Plant and equipment*",'FY24 working'!BL$17:BL$22)</f>
        <v>0</v>
      </c>
      <c r="E28" s="16">
        <f>sumif('FY24 working'!$BJ$17:$BJ$22,"*Plant and equipment*",'FY24 working'!BM$17:BM$22)</f>
        <v>0</v>
      </c>
      <c r="F28" s="16">
        <f>sumif('FY24 working'!$BJ$17:$BJ$22,"*Plant and equipment*",'FY24 working'!BN$17:BN$22)</f>
        <v>0</v>
      </c>
      <c r="G28" s="16">
        <f>sumif('FY24 working'!$BJ$17:$BJ$22,"*Plant and equipment*",'FY24 working'!BO$17:BO$22)</f>
        <v>0</v>
      </c>
      <c r="H28" s="16">
        <f>sumif('FY24 working'!$BJ$17:$BJ$22,"*Plant and equipment*",'FY24 working'!BP$17:BP$22)</f>
        <v>0</v>
      </c>
    </row>
    <row r="29">
      <c r="C29" s="16"/>
      <c r="D29" s="16"/>
      <c r="E29" s="16"/>
      <c r="F29" s="16"/>
      <c r="G29" s="16"/>
      <c r="H29" s="16"/>
    </row>
    <row r="30">
      <c r="A30" s="1" t="s">
        <v>28</v>
      </c>
      <c r="C30" s="16">
        <f>sumif('FY24 working'!$BJ$17:$BJ$22,"*Vehicles*",'FY24 working'!BK$17:BK$22)</f>
        <v>0</v>
      </c>
      <c r="D30" s="16">
        <f>sumif('FY24 working'!$BJ$17:$BJ$22,"*Vehicles*",'FY24 working'!BL$17:BL$22)</f>
        <v>0</v>
      </c>
      <c r="E30" s="16">
        <f>sumif('FY24 working'!$BJ$17:$BJ$22,"*Vehicles*",'FY24 working'!BM$17:BM$22)</f>
        <v>0</v>
      </c>
      <c r="F30" s="16">
        <f>sumif('FY24 working'!$BJ$17:$BJ$22,"*Vehicles*",'FY24 working'!BN$17:BN$22)</f>
        <v>0</v>
      </c>
      <c r="G30" s="16">
        <f>sumif('FY24 working'!$BJ$17:$BJ$22,"*Vehicles*",'FY24 working'!BO$17:BO$22)</f>
        <v>0</v>
      </c>
      <c r="H30" s="16">
        <f>sumif('FY24 working'!$BJ$17:$BJ$22,"*Vehicles*",'FY24 working'!BP$17:BP$22)</f>
        <v>0</v>
      </c>
    </row>
    <row r="31">
      <c r="C31" s="16"/>
      <c r="D31" s="16"/>
      <c r="E31" s="16"/>
      <c r="F31" s="16"/>
      <c r="G31" s="16"/>
      <c r="H31" s="16"/>
    </row>
    <row r="32">
      <c r="A32" s="1" t="s">
        <v>31</v>
      </c>
      <c r="C32" s="16">
        <f>sumif('FY24 working'!$BJ$17:$BJ$22,"*Computer software*",'FY24 working'!BK$17:BK$22)</f>
        <v>0</v>
      </c>
      <c r="D32" s="16">
        <f>sumif('FY24 working'!$BJ$17:$BJ$22,"*Computer software*",'FY24 working'!BL$17:BL$22)</f>
        <v>0</v>
      </c>
      <c r="E32" s="16">
        <f>sumif('FY24 working'!$BJ$17:$BJ$22,"*Computer software*",'FY24 working'!BM$17:BM$22)</f>
        <v>16000</v>
      </c>
      <c r="F32" s="16">
        <f>sumif('FY24 working'!$BJ$17:$BJ$22,"*Computer software*",'FY24 working'!BN$17:BN$22)</f>
        <v>0</v>
      </c>
      <c r="G32" s="16">
        <f>sumif('FY24 working'!$BJ$17:$BJ$22,"*Computer software*",'FY24 working'!BO$17:BO$22)</f>
        <v>-15973.7856</v>
      </c>
      <c r="H32" s="16">
        <f>sumif('FY24 working'!$BJ$17:$BJ$22,"*Computer software*",'FY24 working'!BP$17:BP$22)</f>
        <v>26.2144</v>
      </c>
    </row>
    <row r="34">
      <c r="C34" s="20">
        <f t="shared" ref="C34:H34" si="2">sum(C24:C32)</f>
        <v>0</v>
      </c>
      <c r="D34" s="20">
        <f t="shared" si="2"/>
        <v>0</v>
      </c>
      <c r="E34" s="20">
        <f t="shared" si="2"/>
        <v>7616000</v>
      </c>
      <c r="F34" s="20">
        <f t="shared" si="2"/>
        <v>0</v>
      </c>
      <c r="G34" s="20">
        <f t="shared" si="2"/>
        <v>-530628.7313</v>
      </c>
      <c r="H34" s="20">
        <f t="shared" si="2"/>
        <v>7085371.269</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0"/>
    <col customWidth="1" min="2" max="2" width="5.5"/>
    <col customWidth="1" min="3" max="3" width="23.88"/>
    <col customWidth="1" min="4" max="4" width="24.88"/>
    <col customWidth="1" min="5" max="5" width="20.5"/>
  </cols>
  <sheetData>
    <row r="1">
      <c r="A1" s="13" t="s">
        <v>1</v>
      </c>
      <c r="C1" s="13" t="s">
        <v>7</v>
      </c>
      <c r="D1" s="13" t="s">
        <v>88</v>
      </c>
      <c r="E1" s="13" t="s">
        <v>89</v>
      </c>
    </row>
    <row r="2">
      <c r="A2" s="1" t="s">
        <v>15</v>
      </c>
      <c r="C2" s="1" t="s">
        <v>17</v>
      </c>
      <c r="D2" s="1" t="s">
        <v>90</v>
      </c>
      <c r="E2" s="1" t="s">
        <v>18</v>
      </c>
    </row>
    <row r="3">
      <c r="A3" s="1" t="s">
        <v>91</v>
      </c>
      <c r="C3" s="1" t="s">
        <v>92</v>
      </c>
      <c r="D3" s="1" t="s">
        <v>93</v>
      </c>
      <c r="E3" s="1" t="s">
        <v>23</v>
      </c>
    </row>
    <row r="4">
      <c r="A4" s="1" t="s">
        <v>21</v>
      </c>
      <c r="C4" s="1" t="s">
        <v>94</v>
      </c>
      <c r="D4" s="1" t="s">
        <v>95</v>
      </c>
      <c r="E4" s="1" t="s">
        <v>36</v>
      </c>
      <c r="F4" s="17" t="s">
        <v>96</v>
      </c>
    </row>
    <row r="5">
      <c r="A5" s="1" t="s">
        <v>25</v>
      </c>
      <c r="C5" s="1" t="s">
        <v>97</v>
      </c>
      <c r="D5" s="1" t="s">
        <v>98</v>
      </c>
      <c r="E5" s="1" t="s">
        <v>19</v>
      </c>
    </row>
    <row r="6">
      <c r="A6" s="1" t="s">
        <v>34</v>
      </c>
      <c r="C6" s="1" t="s">
        <v>99</v>
      </c>
      <c r="D6" s="1" t="s">
        <v>100</v>
      </c>
    </row>
    <row r="7">
      <c r="A7" s="1" t="s">
        <v>28</v>
      </c>
      <c r="C7" s="1" t="s">
        <v>101</v>
      </c>
      <c r="D7" s="1" t="s">
        <v>102</v>
      </c>
    </row>
    <row r="8">
      <c r="A8" s="1" t="s">
        <v>103</v>
      </c>
      <c r="C8" s="1" t="s">
        <v>104</v>
      </c>
      <c r="D8" s="1" t="s">
        <v>105</v>
      </c>
    </row>
    <row r="9">
      <c r="A9" s="1" t="s">
        <v>106</v>
      </c>
      <c r="C9" s="1" t="s">
        <v>107</v>
      </c>
      <c r="D9" s="1" t="s">
        <v>108</v>
      </c>
    </row>
    <row r="10">
      <c r="A10" s="1" t="s">
        <v>31</v>
      </c>
      <c r="C10" s="1" t="s">
        <v>109</v>
      </c>
      <c r="D10" s="1" t="s">
        <v>108</v>
      </c>
    </row>
  </sheetData>
  <drawing r:id="rId1"/>
</worksheet>
</file>